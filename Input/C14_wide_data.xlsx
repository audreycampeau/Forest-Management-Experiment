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udreycampeau/Documents/DATA/TROLLBERGET DITCH/R/Input/"/>
    </mc:Choice>
  </mc:AlternateContent>
  <xr:revisionPtr revIDLastSave="0" documentId="13_ncr:1_{8266C88F-4545-A74D-98C0-19BD17D74892}" xr6:coauthVersionLast="47" xr6:coauthVersionMax="47" xr10:uidLastSave="{00000000-0000-0000-0000-000000000000}"/>
  <bookViews>
    <workbookView xWindow="25720" yWindow="2580" windowWidth="41760" windowHeight="24940" xr2:uid="{00000000-000D-0000-FFFF-FFFF00000000}"/>
  </bookViews>
  <sheets>
    <sheet name="14C_DC_Data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47" i="7" l="1"/>
  <c r="AC9" i="7"/>
  <c r="AC46" i="7"/>
  <c r="AC45" i="7"/>
  <c r="AC44" i="7"/>
  <c r="AC43" i="7"/>
  <c r="AC42" i="7"/>
  <c r="AC41" i="7"/>
  <c r="AC40" i="7"/>
  <c r="AC39" i="7"/>
  <c r="AC38" i="7"/>
  <c r="AC37" i="7"/>
  <c r="AC36" i="7"/>
  <c r="AC35" i="7"/>
  <c r="AC34" i="7"/>
  <c r="AC33" i="7"/>
  <c r="AC32" i="7"/>
  <c r="AC31" i="7"/>
  <c r="AC30" i="7"/>
  <c r="AC29" i="7"/>
  <c r="AC28" i="7"/>
  <c r="AC27" i="7"/>
  <c r="AC26" i="7"/>
  <c r="AC25" i="7"/>
  <c r="AC24" i="7"/>
  <c r="AC23" i="7"/>
  <c r="AC22" i="7"/>
  <c r="AC21" i="7"/>
  <c r="AC20" i="7"/>
  <c r="AC19" i="7"/>
  <c r="AC18" i="7"/>
  <c r="AC17" i="7"/>
  <c r="AC16" i="7"/>
  <c r="AC15" i="7"/>
  <c r="AC14" i="7"/>
  <c r="AC13" i="7"/>
  <c r="AC12" i="7"/>
  <c r="AC11" i="7"/>
  <c r="AC10" i="7"/>
  <c r="AC8" i="7"/>
  <c r="AC7" i="7"/>
  <c r="AC6" i="7"/>
  <c r="AC5" i="7"/>
  <c r="AC3" i="7"/>
  <c r="AC2" i="7"/>
  <c r="AC4" i="7"/>
</calcChain>
</file>

<file path=xl/sharedStrings.xml><?xml version="1.0" encoding="utf-8"?>
<sst xmlns="http://schemas.openxmlformats.org/spreadsheetml/2006/main" count="509" uniqueCount="248">
  <si>
    <t>Publication Code_DOC</t>
  </si>
  <si>
    <t>Sample_id_DOC</t>
  </si>
  <si>
    <t>Material_Type_DOC</t>
  </si>
  <si>
    <t>Site_id</t>
  </si>
  <si>
    <t>Radio_Age_DOC</t>
  </si>
  <si>
    <t>Radio_Age_uncertainty_DOC</t>
  </si>
  <si>
    <t>d13C_DOC</t>
  </si>
  <si>
    <t>Publication Code_CO2</t>
  </si>
  <si>
    <t>Sample_id_CO2</t>
  </si>
  <si>
    <t>Date_CO2</t>
  </si>
  <si>
    <t>Material_Type_CO2</t>
  </si>
  <si>
    <t>Radio_Age_CO2</t>
  </si>
  <si>
    <t>Radio_Age_uncertainty_CO2</t>
  </si>
  <si>
    <t>CO2_vol_ml_or_DOCmgL_CO2</t>
  </si>
  <si>
    <t>d13C_CO2</t>
  </si>
  <si>
    <t>DOY_CO2</t>
  </si>
  <si>
    <t>Year_CO2</t>
  </si>
  <si>
    <t>Date_chem</t>
  </si>
  <si>
    <t>pH</t>
  </si>
  <si>
    <t>DOC_mgL</t>
  </si>
  <si>
    <t>NO2_NO3_ugL</t>
  </si>
  <si>
    <t>DN_mgL</t>
  </si>
  <si>
    <t>NH4_ugL</t>
  </si>
  <si>
    <t>PO4_ugL</t>
  </si>
  <si>
    <t>SO4_ugL</t>
  </si>
  <si>
    <t>Fe_ugL</t>
  </si>
  <si>
    <t>d18O</t>
  </si>
  <si>
    <t>DIC_mgL</t>
  </si>
  <si>
    <t>pCO2_uatm</t>
  </si>
  <si>
    <t>CH4_ugL</t>
  </si>
  <si>
    <t>CO2_mgL</t>
  </si>
  <si>
    <t>DOC</t>
  </si>
  <si>
    <t>NA</t>
  </si>
  <si>
    <t>CO2</t>
  </si>
  <si>
    <t>SUERC-95055</t>
  </si>
  <si>
    <t>DC1-DOC-200312</t>
  </si>
  <si>
    <t>DC1</t>
  </si>
  <si>
    <t>SUERC-93727</t>
  </si>
  <si>
    <t>DC1-X250-200312</t>
  </si>
  <si>
    <t>SUERC-97977</t>
  </si>
  <si>
    <t>DC1-DOC-200427</t>
  </si>
  <si>
    <t>SUERC-97976</t>
  </si>
  <si>
    <t>DC1-DOC-200828</t>
  </si>
  <si>
    <t>SUERC-95188</t>
  </si>
  <si>
    <t>DC1-X250-200828</t>
  </si>
  <si>
    <t>SUERC-100404</t>
  </si>
  <si>
    <t>DC1-DOC-201020</t>
  </si>
  <si>
    <t>SUERC-100383</t>
  </si>
  <si>
    <t>DC1-X341-201020</t>
  </si>
  <si>
    <t>SUERC-102774</t>
  </si>
  <si>
    <t>DC1-DOC-210430</t>
  </si>
  <si>
    <t>SUERC-100392</t>
  </si>
  <si>
    <t>DC1-X400-210430</t>
  </si>
  <si>
    <t>SUERC-102374</t>
  </si>
  <si>
    <t>DC1-DOC-210820</t>
  </si>
  <si>
    <t>SUERC-102364</t>
  </si>
  <si>
    <t>DC1-X408-210820</t>
  </si>
  <si>
    <t>SUERC-103875</t>
  </si>
  <si>
    <t>DC1-DOC-210924</t>
  </si>
  <si>
    <t>SUERC-102385</t>
  </si>
  <si>
    <t>DC1-X402-210924</t>
  </si>
  <si>
    <t>SUERC-103885</t>
  </si>
  <si>
    <t>DC1-DOC-210927</t>
  </si>
  <si>
    <t>SUERC-102392</t>
  </si>
  <si>
    <t>DC1-X297-210927</t>
  </si>
  <si>
    <t>SUERC-106754</t>
  </si>
  <si>
    <t>DC1-DOC-211026</t>
  </si>
  <si>
    <t>SUERC-102398</t>
  </si>
  <si>
    <t>DC1-X215-211026</t>
  </si>
  <si>
    <t>SUERC-105221</t>
  </si>
  <si>
    <t>DC1-DOC-220503</t>
  </si>
  <si>
    <t>SUERC-105211</t>
  </si>
  <si>
    <t>DC1-X411-220503</t>
  </si>
  <si>
    <t>SUERC-108840</t>
  </si>
  <si>
    <t>DC1-DOC-230822</t>
  </si>
  <si>
    <t>SUERC-108830</t>
  </si>
  <si>
    <t>DC1-X406-230822</t>
  </si>
  <si>
    <t>SUERC-109782</t>
  </si>
  <si>
    <t>DC1-DOC-241022</t>
  </si>
  <si>
    <t>SUERC-108536</t>
  </si>
  <si>
    <t>DC1-X404-241022</t>
  </si>
  <si>
    <t>SUERC-97978</t>
  </si>
  <si>
    <t>DC2-DOC-200427</t>
  </si>
  <si>
    <t>DC2</t>
  </si>
  <si>
    <t>SUERC-100405</t>
  </si>
  <si>
    <t>DC2-DOC-201020</t>
  </si>
  <si>
    <t>SUERC-100384</t>
  </si>
  <si>
    <t>DC2-X303-201020</t>
  </si>
  <si>
    <t>SUERC-102775</t>
  </si>
  <si>
    <t>DC2-DOC-210430</t>
  </si>
  <si>
    <t>SUERC-100393</t>
  </si>
  <si>
    <t>DC2-X405-210430</t>
  </si>
  <si>
    <t>SUERC-102375</t>
  </si>
  <si>
    <t>DC2-DOC-210820</t>
  </si>
  <si>
    <t>SUERC-102365</t>
  </si>
  <si>
    <t>DC2-X407-210820</t>
  </si>
  <si>
    <t>SUERC-103876</t>
  </si>
  <si>
    <t>DC2-DOC-210924</t>
  </si>
  <si>
    <t>SUERC-102386</t>
  </si>
  <si>
    <t>DC2-X301-210924</t>
  </si>
  <si>
    <t>SUERC-103886</t>
  </si>
  <si>
    <t>DC2-DOC-210927</t>
  </si>
  <si>
    <t>SUERC-102393</t>
  </si>
  <si>
    <t>DC2-X232-210927</t>
  </si>
  <si>
    <t>SUERC-106755</t>
  </si>
  <si>
    <t>DC2-DOC-211025</t>
  </si>
  <si>
    <t>SUERC-102402</t>
  </si>
  <si>
    <t>DC2-X317-211025</t>
  </si>
  <si>
    <t>SUERC-105222</t>
  </si>
  <si>
    <t>DC2-DOC-220503</t>
  </si>
  <si>
    <t>SUERC-105212</t>
  </si>
  <si>
    <t>DC2-X401-220503</t>
  </si>
  <si>
    <t>SUERC-108841</t>
  </si>
  <si>
    <t>DC2-DOC-230822</t>
  </si>
  <si>
    <t>SUERC-108831</t>
  </si>
  <si>
    <t>DC2-X408-230822</t>
  </si>
  <si>
    <t>SUERC-109783</t>
  </si>
  <si>
    <t>DC2-DOC-241022</t>
  </si>
  <si>
    <t>SUERC-108537</t>
  </si>
  <si>
    <t>DC2-X229-241022</t>
  </si>
  <si>
    <t>SUERC-95053</t>
  </si>
  <si>
    <t>DC3-DOC-200312</t>
  </si>
  <si>
    <t>DC3</t>
  </si>
  <si>
    <t>SUERC-97980</t>
  </si>
  <si>
    <t>DC3-DOC-200427</t>
  </si>
  <si>
    <t>SUERC-93725</t>
  </si>
  <si>
    <t>DC3-X263-200312</t>
  </si>
  <si>
    <t>SUERC-97979</t>
  </si>
  <si>
    <t>DC3-DOC-200827</t>
  </si>
  <si>
    <t>SUERC-95189</t>
  </si>
  <si>
    <t>DC3-X316-200827</t>
  </si>
  <si>
    <t>SUERC-100406</t>
  </si>
  <si>
    <t>DC3-DOC-201020</t>
  </si>
  <si>
    <t>SUERC-100385</t>
  </si>
  <si>
    <t>DC3-X258-201020</t>
  </si>
  <si>
    <t>SUERC-102776</t>
  </si>
  <si>
    <t>DC3-DOC-210430</t>
  </si>
  <si>
    <t>SUERC-100394</t>
  </si>
  <si>
    <t>DC3-X409-210430</t>
  </si>
  <si>
    <t>SUERC-102376</t>
  </si>
  <si>
    <t>DC3-DOC-210820</t>
  </si>
  <si>
    <t>SUERC-102366</t>
  </si>
  <si>
    <t>DC3-X403-210820</t>
  </si>
  <si>
    <t>SUERC-103877</t>
  </si>
  <si>
    <t>DC3-DOC-210924</t>
  </si>
  <si>
    <t>SUERC-102387</t>
  </si>
  <si>
    <t>DC3-X85-210924</t>
  </si>
  <si>
    <t>SUERC-103888</t>
  </si>
  <si>
    <t>DC3-DOC-210928</t>
  </si>
  <si>
    <t>SUERC-102394</t>
  </si>
  <si>
    <t>DC3-X312-210928</t>
  </si>
  <si>
    <t>SUERC-106756</t>
  </si>
  <si>
    <t>DC3-DOC-211025</t>
  </si>
  <si>
    <t>SUERC-102403</t>
  </si>
  <si>
    <t>DC3-X286-211025</t>
  </si>
  <si>
    <t>SUERC-105223</t>
  </si>
  <si>
    <t>DC3-DOC-220503</t>
  </si>
  <si>
    <t>SUERC-105213</t>
  </si>
  <si>
    <t>DC3-X286-220503</t>
  </si>
  <si>
    <t>SUERC-108842</t>
  </si>
  <si>
    <t>DC3-DOC-230822</t>
  </si>
  <si>
    <t>SUERC-108832</t>
  </si>
  <si>
    <t>DC3-X356-230822</t>
  </si>
  <si>
    <t>SUERC-109784</t>
  </si>
  <si>
    <t>DC3-DOC-251022</t>
  </si>
  <si>
    <t>SUERC-108538</t>
  </si>
  <si>
    <t>DC3-X233-251022</t>
  </si>
  <si>
    <t>SUERC-95054</t>
  </si>
  <si>
    <t>DC4-DOC-200312</t>
  </si>
  <si>
    <t>DC4</t>
  </si>
  <si>
    <t>SUERC-93726</t>
  </si>
  <si>
    <t>DC4-X302-200312</t>
  </si>
  <si>
    <t>SUERC-97985</t>
  </si>
  <si>
    <t>DC4-DOC-200427</t>
  </si>
  <si>
    <t>SUERC-97981</t>
  </si>
  <si>
    <t>DC4-DOC-200828</t>
  </si>
  <si>
    <t>SUERC-95190</t>
  </si>
  <si>
    <t>DC4-X302-200828</t>
  </si>
  <si>
    <t>SUERC-100407</t>
  </si>
  <si>
    <t>DC4-DOC-201020</t>
  </si>
  <si>
    <t>SUERC-100386</t>
  </si>
  <si>
    <t>DC4-X241-201021</t>
  </si>
  <si>
    <t>SUERC-102780</t>
  </si>
  <si>
    <t>DC4-DOC-210430</t>
  </si>
  <si>
    <t>SUERC-100395</t>
  </si>
  <si>
    <t>DC4-X404-210430</t>
  </si>
  <si>
    <t>SUERC-102377</t>
  </si>
  <si>
    <t>DC4-DOC-210820</t>
  </si>
  <si>
    <t>SUERC-102367</t>
  </si>
  <si>
    <t>DC4-X413-210820</t>
  </si>
  <si>
    <t>SUERC-103878</t>
  </si>
  <si>
    <t>DC4-DOC-210924</t>
  </si>
  <si>
    <t>SUERC-102388</t>
  </si>
  <si>
    <t>DC4-X234-210924</t>
  </si>
  <si>
    <t>SUERC-103887</t>
  </si>
  <si>
    <t>DC4-DOC-210927</t>
  </si>
  <si>
    <t>SUERC-102395</t>
  </si>
  <si>
    <t>DC4-X229-210927</t>
  </si>
  <si>
    <t>SUERC-106757</t>
  </si>
  <si>
    <t>DC4-DOC-211026</t>
  </si>
  <si>
    <t>SUERC-102404</t>
  </si>
  <si>
    <t>DC4-X115-211026</t>
  </si>
  <si>
    <t>SUERC-105224</t>
  </si>
  <si>
    <t>DC4-DOC-220503</t>
  </si>
  <si>
    <t>SUERC-105214</t>
  </si>
  <si>
    <t>DC4-X297-220503</t>
  </si>
  <si>
    <t>SUERC-108843</t>
  </si>
  <si>
    <t>DC4-DOC-230822</t>
  </si>
  <si>
    <t>SUERC-108833</t>
  </si>
  <si>
    <t>DC4-X297-230822</t>
  </si>
  <si>
    <t>SUERC-109785</t>
  </si>
  <si>
    <t>DC4-DOC-251022</t>
  </si>
  <si>
    <t>SUERC-108539</t>
  </si>
  <si>
    <t>DC4-X85-251022</t>
  </si>
  <si>
    <t>Date</t>
  </si>
  <si>
    <t>DOCmgL_14C_DOC</t>
  </si>
  <si>
    <t>DOC_14C_Modern</t>
  </si>
  <si>
    <t>DOC_14C_Modern_error</t>
  </si>
  <si>
    <t>DOY</t>
  </si>
  <si>
    <t>Year</t>
  </si>
  <si>
    <t>CO2_14C_Modern</t>
  </si>
  <si>
    <t>CO2_14C_Modern_error</t>
  </si>
  <si>
    <t>n</t>
  </si>
  <si>
    <t>Treatment</t>
  </si>
  <si>
    <t>Pre-cleaned</t>
  </si>
  <si>
    <t>Post-cleaned</t>
  </si>
  <si>
    <t>Pre-clearcut</t>
  </si>
  <si>
    <t>Post-clearcut</t>
  </si>
  <si>
    <t>Site_ID_14C</t>
  </si>
  <si>
    <t>EC_uScm</t>
  </si>
  <si>
    <t>Mn_ugL</t>
  </si>
  <si>
    <t>Na_ugL</t>
  </si>
  <si>
    <t>Cl_ugL</t>
  </si>
  <si>
    <t>Ca_ugL</t>
  </si>
  <si>
    <t>P_ugL</t>
  </si>
  <si>
    <t>Si_ugL</t>
  </si>
  <si>
    <t>Mg_ugL</t>
  </si>
  <si>
    <t>K_ugL</t>
  </si>
  <si>
    <t>Hg_ugL</t>
  </si>
  <si>
    <t>d2H</t>
  </si>
  <si>
    <t>pH_MW</t>
  </si>
  <si>
    <t>WT_MW</t>
  </si>
  <si>
    <t>DIC_mgL_MW</t>
  </si>
  <si>
    <t>CO2_mgL_MW</t>
  </si>
  <si>
    <t>CH4_ugL_MW</t>
  </si>
  <si>
    <t>Date_MW</t>
  </si>
  <si>
    <t>row_id</t>
  </si>
  <si>
    <t>days 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</si>
</sst>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 Narrow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0" fontId="18" fillId="0" borderId="0" xfId="0" applyFont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7" borderId="0" xfId="0" applyFill="1" applyAlignment="1">
      <alignment horizontal="left"/>
    </xf>
    <xf numFmtId="0" fontId="0" fillId="38" borderId="0" xfId="0" applyFill="1"/>
    <xf numFmtId="14" fontId="19" fillId="0" borderId="0" xfId="0" applyNumberFormat="1" applyFont="1"/>
    <xf numFmtId="0" fontId="19" fillId="0" borderId="0" xfId="0" applyFont="1"/>
    <xf numFmtId="0" fontId="0" fillId="39" borderId="0" xfId="0" applyFill="1"/>
    <xf numFmtId="14" fontId="19" fillId="39" borderId="0" xfId="0" applyNumberFormat="1" applyFont="1" applyFill="1"/>
    <xf numFmtId="0" fontId="0" fillId="33" borderId="0" xfId="0" applyFill="1"/>
    <xf numFmtId="0" fontId="14" fillId="0" borderId="0" xfId="0" applyFont="1"/>
    <xf numFmtId="14" fontId="19" fillId="38" borderId="0" xfId="0" applyNumberFormat="1" applyFont="1" applyFill="1"/>
    <xf numFmtId="14" fontId="19" fillId="37" borderId="0" xfId="0" applyNumberFormat="1" applyFont="1" applyFill="1"/>
    <xf numFmtId="14" fontId="19" fillId="40" borderId="0" xfId="0" applyNumberFormat="1" applyFont="1" applyFill="1"/>
    <xf numFmtId="0" fontId="0" fillId="0" borderId="10" xfId="0" applyBorder="1"/>
    <xf numFmtId="14" fontId="19" fillId="0" borderId="10" xfId="0" applyNumberFormat="1" applyFont="1" applyBorder="1"/>
    <xf numFmtId="0" fontId="0" fillId="0" borderId="10" xfId="0" applyBorder="1" applyAlignment="1">
      <alignment horizontal="left"/>
    </xf>
    <xf numFmtId="0" fontId="0" fillId="36" borderId="10" xfId="0" applyFill="1" applyBorder="1"/>
    <xf numFmtId="0" fontId="14" fillId="0" borderId="10" xfId="0" applyFont="1" applyBorder="1"/>
    <xf numFmtId="0" fontId="0" fillId="35" borderId="10" xfId="0" applyFill="1" applyBorder="1"/>
    <xf numFmtId="14" fontId="19" fillId="39" borderId="10" xfId="0" applyNumberFormat="1" applyFont="1" applyFill="1" applyBorder="1"/>
    <xf numFmtId="0" fontId="0" fillId="39" borderId="10" xfId="0" applyFill="1" applyBorder="1"/>
    <xf numFmtId="0" fontId="0" fillId="34" borderId="10" xfId="0" applyFill="1" applyBorder="1"/>
    <xf numFmtId="0" fontId="0" fillId="40" borderId="0" xfId="0" applyFill="1"/>
    <xf numFmtId="14" fontId="18" fillId="0" borderId="0" xfId="0" applyNumberFormat="1" applyFont="1"/>
    <xf numFmtId="14" fontId="20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CDFCA-6FD7-C04E-BEE8-AB6887A5D7FD}">
  <dimension ref="A1:BI47"/>
  <sheetViews>
    <sheetView tabSelected="1" workbookViewId="0">
      <pane xSplit="3" ySplit="1" topLeftCell="D2" activePane="bottomRight" state="frozen"/>
      <selection pane="topRight" activeCell="C1" sqref="C1"/>
      <selection pane="bottomLeft" activeCell="A2" sqref="A2"/>
      <selection pane="bottomRight" activeCell="C54" sqref="C54"/>
    </sheetView>
  </sheetViews>
  <sheetFormatPr baseColWidth="10" defaultRowHeight="16" x14ac:dyDescent="0.2"/>
  <cols>
    <col min="1" max="1" width="4.1640625" bestFit="1" customWidth="1"/>
    <col min="2" max="2" width="11.1640625" bestFit="1" customWidth="1"/>
    <col min="3" max="3" width="18" style="10" bestFit="1" customWidth="1"/>
    <col min="4" max="4" width="20" style="2" bestFit="1" customWidth="1"/>
    <col min="5" max="5" width="16.5" bestFit="1" customWidth="1"/>
    <col min="6" max="6" width="4.83203125" bestFit="1" customWidth="1"/>
    <col min="7" max="7" width="5.1640625" bestFit="1" customWidth="1"/>
    <col min="8" max="8" width="6.6640625" bestFit="1" customWidth="1"/>
    <col min="9" max="9" width="12.1640625" bestFit="1" customWidth="1"/>
    <col min="10" max="10" width="17.5" bestFit="1" customWidth="1"/>
    <col min="11" max="11" width="16.5" bestFit="1" customWidth="1"/>
    <col min="12" max="12" width="21.5" bestFit="1" customWidth="1"/>
    <col min="13" max="13" width="14.33203125" bestFit="1" customWidth="1"/>
    <col min="14" max="14" width="24.83203125" bestFit="1" customWidth="1"/>
    <col min="15" max="15" width="17.5" bestFit="1" customWidth="1"/>
    <col min="16" max="16" width="10.33203125" bestFit="1" customWidth="1"/>
    <col min="17" max="17" width="18" style="10" bestFit="1" customWidth="1"/>
    <col min="18" max="18" width="19.6640625" bestFit="1" customWidth="1"/>
    <col min="19" max="19" width="16.33203125" bestFit="1" customWidth="1"/>
    <col min="20" max="20" width="17.1640625" bestFit="1" customWidth="1"/>
    <col min="21" max="21" width="16" bestFit="1" customWidth="1"/>
    <col min="22" max="22" width="21" bestFit="1" customWidth="1"/>
    <col min="23" max="23" width="14" bestFit="1" customWidth="1"/>
    <col min="24" max="24" width="24.5" bestFit="1" customWidth="1"/>
    <col min="25" max="25" width="26.1640625" bestFit="1" customWidth="1"/>
    <col min="26" max="26" width="10" bestFit="1" customWidth="1"/>
    <col min="27" max="28" width="9.33203125" bestFit="1" customWidth="1"/>
    <col min="29" max="29" width="9.33203125" customWidth="1"/>
    <col min="30" max="30" width="10.6640625" style="11" bestFit="1" customWidth="1"/>
    <col min="32" max="32" width="12.1640625" bestFit="1" customWidth="1"/>
    <col min="33" max="33" width="12.83203125" bestFit="1" customWidth="1"/>
    <col min="34" max="34" width="12.1640625" bestFit="1" customWidth="1"/>
    <col min="35" max="35" width="8.33203125" bestFit="1" customWidth="1"/>
    <col min="36" max="36" width="8" bestFit="1" customWidth="1"/>
    <col min="37" max="37" width="8.1640625" bestFit="1" customWidth="1"/>
    <col min="38" max="38" width="12.1640625" bestFit="1" customWidth="1"/>
    <col min="39" max="39" width="12.83203125" bestFit="1" customWidth="1"/>
    <col min="40" max="43" width="12.1640625" bestFit="1" customWidth="1"/>
  </cols>
  <sheetData>
    <row r="1" spans="1:61" x14ac:dyDescent="0.2">
      <c r="A1" s="7" t="s">
        <v>222</v>
      </c>
      <c r="B1" s="7" t="s">
        <v>228</v>
      </c>
      <c r="C1" s="17" t="s">
        <v>214</v>
      </c>
      <c r="D1" s="8" t="s">
        <v>0</v>
      </c>
      <c r="E1" s="7" t="s">
        <v>1</v>
      </c>
      <c r="F1" s="7" t="s">
        <v>218</v>
      </c>
      <c r="G1" s="7" t="s">
        <v>219</v>
      </c>
      <c r="H1" s="7" t="s">
        <v>3</v>
      </c>
      <c r="I1" s="7" t="s">
        <v>223</v>
      </c>
      <c r="J1" s="7" t="s">
        <v>2</v>
      </c>
      <c r="K1" s="7" t="s">
        <v>216</v>
      </c>
      <c r="L1" s="7" t="s">
        <v>217</v>
      </c>
      <c r="M1" s="7" t="s">
        <v>4</v>
      </c>
      <c r="N1" s="7" t="s">
        <v>5</v>
      </c>
      <c r="O1" s="7" t="s">
        <v>215</v>
      </c>
      <c r="P1" s="7" t="s">
        <v>6</v>
      </c>
      <c r="Q1" s="16" t="s">
        <v>9</v>
      </c>
      <c r="R1" s="9" t="s">
        <v>7</v>
      </c>
      <c r="S1" s="9" t="s">
        <v>8</v>
      </c>
      <c r="T1" s="9" t="s">
        <v>10</v>
      </c>
      <c r="U1" s="9" t="s">
        <v>220</v>
      </c>
      <c r="V1" s="9" t="s">
        <v>221</v>
      </c>
      <c r="W1" s="9" t="s">
        <v>11</v>
      </c>
      <c r="X1" s="9" t="s">
        <v>12</v>
      </c>
      <c r="Y1" s="9" t="s">
        <v>13</v>
      </c>
      <c r="Z1" s="9" t="s">
        <v>14</v>
      </c>
      <c r="AA1" s="9" t="s">
        <v>15</v>
      </c>
      <c r="AB1" s="9" t="s">
        <v>16</v>
      </c>
      <c r="AC1" s="14" t="s">
        <v>247</v>
      </c>
      <c r="AD1" t="s">
        <v>17</v>
      </c>
      <c r="AE1" t="s">
        <v>18</v>
      </c>
      <c r="AF1" t="s">
        <v>229</v>
      </c>
      <c r="AG1" s="6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230</v>
      </c>
      <c r="AN1" t="s">
        <v>231</v>
      </c>
      <c r="AO1" t="s">
        <v>232</v>
      </c>
      <c r="AP1" t="s">
        <v>233</v>
      </c>
      <c r="AQ1" t="s">
        <v>234</v>
      </c>
      <c r="AR1" t="s">
        <v>235</v>
      </c>
      <c r="AS1" t="s">
        <v>236</v>
      </c>
      <c r="AT1" t="s">
        <v>237</v>
      </c>
      <c r="AU1" t="s">
        <v>25</v>
      </c>
      <c r="AV1" t="s">
        <v>238</v>
      </c>
      <c r="AW1" t="s">
        <v>26</v>
      </c>
      <c r="AX1" t="s">
        <v>239</v>
      </c>
      <c r="AY1" t="s">
        <v>27</v>
      </c>
      <c r="AZ1" t="s">
        <v>28</v>
      </c>
      <c r="BA1" t="s">
        <v>29</v>
      </c>
      <c r="BB1" t="s">
        <v>30</v>
      </c>
      <c r="BC1" s="28" t="s">
        <v>240</v>
      </c>
      <c r="BD1" s="28" t="s">
        <v>241</v>
      </c>
      <c r="BE1" s="28" t="s">
        <v>242</v>
      </c>
      <c r="BF1" s="28" t="s">
        <v>243</v>
      </c>
      <c r="BG1" s="28" t="s">
        <v>244</v>
      </c>
      <c r="BH1" s="28" t="s">
        <v>245</v>
      </c>
      <c r="BI1" t="s">
        <v>246</v>
      </c>
    </row>
    <row r="2" spans="1:61" x14ac:dyDescent="0.2">
      <c r="A2">
        <v>43</v>
      </c>
      <c r="B2" t="s">
        <v>36</v>
      </c>
      <c r="C2" s="10">
        <v>43902</v>
      </c>
      <c r="D2" s="2" t="s">
        <v>34</v>
      </c>
      <c r="E2" s="4" t="s">
        <v>35</v>
      </c>
      <c r="F2">
        <v>72</v>
      </c>
      <c r="G2">
        <v>2020</v>
      </c>
      <c r="H2" t="s">
        <v>36</v>
      </c>
      <c r="I2" t="s">
        <v>224</v>
      </c>
      <c r="J2" t="s">
        <v>31</v>
      </c>
      <c r="K2">
        <v>103.4819</v>
      </c>
      <c r="L2">
        <v>0.45079999999999998</v>
      </c>
      <c r="O2">
        <v>9.6300000000000008</v>
      </c>
      <c r="P2">
        <v>-29.277000000000001</v>
      </c>
      <c r="Q2" s="10">
        <v>43902</v>
      </c>
      <c r="R2" t="s">
        <v>37</v>
      </c>
      <c r="S2" t="s">
        <v>38</v>
      </c>
      <c r="T2" t="s">
        <v>33</v>
      </c>
      <c r="U2">
        <v>104.13590000000001</v>
      </c>
      <c r="V2">
        <v>0.47960000000000003</v>
      </c>
      <c r="Y2">
        <v>5.6</v>
      </c>
      <c r="Z2">
        <v>-22.620999999999999</v>
      </c>
      <c r="AA2">
        <v>72</v>
      </c>
      <c r="AB2">
        <v>2020</v>
      </c>
      <c r="AC2" s="15">
        <f t="shared" ref="AC2:AC47" si="0">C2-AD2</f>
        <v>-5</v>
      </c>
      <c r="AD2" s="10">
        <v>43907</v>
      </c>
      <c r="AE2">
        <v>5.13</v>
      </c>
      <c r="AF2">
        <v>30</v>
      </c>
      <c r="AG2">
        <v>11.65</v>
      </c>
      <c r="AH2">
        <v>4.6500000000000004</v>
      </c>
      <c r="AI2">
        <v>0.20496666666666699</v>
      </c>
      <c r="AJ2">
        <v>3.12</v>
      </c>
      <c r="AK2">
        <v>0.8</v>
      </c>
      <c r="AL2" t="s">
        <v>32</v>
      </c>
      <c r="AM2">
        <v>2.4808873394328002</v>
      </c>
      <c r="AN2">
        <v>2027.0413634921399</v>
      </c>
      <c r="AO2" t="s">
        <v>32</v>
      </c>
      <c r="AP2">
        <v>1241.62488725617</v>
      </c>
      <c r="AQ2">
        <v>24.054676812331198</v>
      </c>
      <c r="AR2">
        <v>5256.6741851777297</v>
      </c>
      <c r="AS2">
        <v>560.50756437353095</v>
      </c>
      <c r="AT2">
        <v>304.42454991888502</v>
      </c>
      <c r="AU2">
        <v>262.15870197704999</v>
      </c>
      <c r="AV2">
        <v>3.65477173891952E-3</v>
      </c>
      <c r="AW2">
        <v>-13.049798250633399</v>
      </c>
      <c r="AX2">
        <v>-94.5816310432227</v>
      </c>
      <c r="AY2">
        <v>1.7168639047099501</v>
      </c>
      <c r="AZ2">
        <v>1811.1444176105299</v>
      </c>
      <c r="BA2" t="s">
        <v>32</v>
      </c>
      <c r="BB2">
        <v>1.6566619748390099</v>
      </c>
      <c r="BC2">
        <v>5.13</v>
      </c>
      <c r="BD2">
        <v>0.486369778022336</v>
      </c>
      <c r="BE2">
        <v>1.7168471699605099</v>
      </c>
      <c r="BF2">
        <v>1.6566119525933101</v>
      </c>
      <c r="BG2" t="s">
        <v>32</v>
      </c>
      <c r="BH2" s="1">
        <v>43907</v>
      </c>
      <c r="BI2">
        <v>13</v>
      </c>
    </row>
    <row r="3" spans="1:61" x14ac:dyDescent="0.2">
      <c r="A3">
        <v>44</v>
      </c>
      <c r="B3" t="s">
        <v>36</v>
      </c>
      <c r="C3" s="10">
        <v>43948</v>
      </c>
      <c r="D3" s="2" t="s">
        <v>39</v>
      </c>
      <c r="E3" s="4" t="s">
        <v>40</v>
      </c>
      <c r="F3">
        <v>118</v>
      </c>
      <c r="G3">
        <v>2020</v>
      </c>
      <c r="H3" t="s">
        <v>36</v>
      </c>
      <c r="I3" t="s">
        <v>224</v>
      </c>
      <c r="J3" t="s">
        <v>31</v>
      </c>
      <c r="K3">
        <v>106.79349999999999</v>
      </c>
      <c r="L3">
        <v>0.49049999999999999</v>
      </c>
      <c r="O3">
        <v>16.3</v>
      </c>
      <c r="P3">
        <v>-28.992000000000001</v>
      </c>
      <c r="Q3" s="13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>
        <f t="shared" si="0"/>
        <v>0</v>
      </c>
      <c r="AD3" s="10">
        <v>43948</v>
      </c>
      <c r="AE3">
        <v>5.01</v>
      </c>
      <c r="AF3">
        <v>30</v>
      </c>
      <c r="AG3">
        <v>21.086666666666702</v>
      </c>
      <c r="AH3">
        <v>8.83</v>
      </c>
      <c r="AI3">
        <v>0.35763333333333303</v>
      </c>
      <c r="AJ3">
        <v>4.7300000000000004</v>
      </c>
      <c r="AK3">
        <v>2.33</v>
      </c>
      <c r="AL3">
        <v>1297.3</v>
      </c>
      <c r="AM3">
        <v>5.8141109628532197</v>
      </c>
      <c r="AN3">
        <v>1839.50714408667</v>
      </c>
      <c r="AO3">
        <v>818.27499999999998</v>
      </c>
      <c r="AP3">
        <v>1445.92287219983</v>
      </c>
      <c r="AQ3">
        <v>21.1679971372604</v>
      </c>
      <c r="AR3">
        <v>4339.87879591811</v>
      </c>
      <c r="AS3">
        <v>536.359933086924</v>
      </c>
      <c r="AT3">
        <v>179.9175738102</v>
      </c>
      <c r="AU3">
        <v>420.24280359150998</v>
      </c>
      <c r="AV3">
        <v>7.2420862479357301E-3</v>
      </c>
      <c r="AW3">
        <v>-13.426467487956799</v>
      </c>
      <c r="AX3">
        <v>-98.093829996643507</v>
      </c>
      <c r="AY3">
        <v>1.41801424886612</v>
      </c>
      <c r="AZ3">
        <v>1524.7785624042899</v>
      </c>
      <c r="BA3" t="s">
        <v>32</v>
      </c>
      <c r="BB3">
        <v>1.3796484467811501</v>
      </c>
      <c r="BC3">
        <v>5.01</v>
      </c>
      <c r="BD3">
        <v>0.76263957360217005</v>
      </c>
      <c r="BE3">
        <v>1.4180004270872999</v>
      </c>
      <c r="BF3">
        <v>1.3796134046715001</v>
      </c>
      <c r="BG3" t="s">
        <v>32</v>
      </c>
      <c r="BH3" s="1">
        <v>43948</v>
      </c>
      <c r="BI3">
        <v>19</v>
      </c>
    </row>
    <row r="4" spans="1:61" x14ac:dyDescent="0.2">
      <c r="A4">
        <v>45</v>
      </c>
      <c r="B4" t="s">
        <v>36</v>
      </c>
      <c r="C4" s="10">
        <v>44071</v>
      </c>
      <c r="D4" s="2" t="s">
        <v>41</v>
      </c>
      <c r="E4" s="4" t="s">
        <v>42</v>
      </c>
      <c r="F4">
        <v>241</v>
      </c>
      <c r="G4">
        <v>2020</v>
      </c>
      <c r="H4" t="s">
        <v>36</v>
      </c>
      <c r="I4" t="s">
        <v>224</v>
      </c>
      <c r="J4" t="s">
        <v>31</v>
      </c>
      <c r="K4">
        <v>106.26260000000001</v>
      </c>
      <c r="L4">
        <v>0.4884</v>
      </c>
      <c r="O4">
        <v>13.6</v>
      </c>
      <c r="P4">
        <v>-28.931999999999999</v>
      </c>
      <c r="Q4" s="10">
        <v>44071</v>
      </c>
      <c r="R4" t="s">
        <v>43</v>
      </c>
      <c r="S4" t="s">
        <v>44</v>
      </c>
      <c r="T4" t="s">
        <v>33</v>
      </c>
      <c r="U4">
        <v>102.8331</v>
      </c>
      <c r="V4">
        <v>0.4713</v>
      </c>
      <c r="Y4">
        <v>4.8600000000000003</v>
      </c>
      <c r="Z4">
        <v>-22.962</v>
      </c>
      <c r="AA4">
        <v>241</v>
      </c>
      <c r="AB4">
        <v>2020</v>
      </c>
      <c r="AC4">
        <f t="shared" si="0"/>
        <v>4</v>
      </c>
      <c r="AD4" s="10">
        <v>44067</v>
      </c>
      <c r="AE4">
        <v>5.14</v>
      </c>
      <c r="AF4">
        <v>30</v>
      </c>
      <c r="AG4">
        <v>29.99</v>
      </c>
      <c r="AH4">
        <v>6.11</v>
      </c>
      <c r="AI4">
        <v>0.499</v>
      </c>
      <c r="AJ4">
        <v>7.21</v>
      </c>
      <c r="AK4">
        <v>2.0299999999999998</v>
      </c>
      <c r="AL4" t="s">
        <v>32</v>
      </c>
      <c r="AM4">
        <v>2.9300500365097601</v>
      </c>
      <c r="AN4">
        <v>1947.6669214106701</v>
      </c>
      <c r="AO4" t="s">
        <v>32</v>
      </c>
      <c r="AP4">
        <v>1158.7561986588501</v>
      </c>
      <c r="AQ4">
        <v>36.795721591544599</v>
      </c>
      <c r="AR4">
        <v>4995.9285069838397</v>
      </c>
      <c r="AS4">
        <v>367.46994060548002</v>
      </c>
      <c r="AT4">
        <v>717.62496907136199</v>
      </c>
      <c r="AU4">
        <v>1038.3076510291301</v>
      </c>
      <c r="AV4">
        <v>5.0476738778247902E-3</v>
      </c>
      <c r="AW4">
        <v>-12.8932032245919</v>
      </c>
      <c r="AX4">
        <v>-93.8236945321256</v>
      </c>
      <c r="AY4">
        <v>2.8105733089852398</v>
      </c>
      <c r="AZ4" t="s">
        <v>32</v>
      </c>
      <c r="BA4" t="s">
        <v>32</v>
      </c>
      <c r="BB4" t="s">
        <v>32</v>
      </c>
      <c r="BC4">
        <v>5.14</v>
      </c>
      <c r="BD4">
        <v>10.1971571895444</v>
      </c>
      <c r="BE4">
        <v>2.8105459135463899</v>
      </c>
      <c r="BF4">
        <v>2.68260861840275</v>
      </c>
      <c r="BG4" t="s">
        <v>32</v>
      </c>
      <c r="BH4" s="1">
        <v>44067</v>
      </c>
      <c r="BI4">
        <v>32</v>
      </c>
    </row>
    <row r="5" spans="1:61" x14ac:dyDescent="0.2">
      <c r="A5">
        <v>46</v>
      </c>
      <c r="B5" t="s">
        <v>36</v>
      </c>
      <c r="C5" s="10">
        <v>44124</v>
      </c>
      <c r="D5" s="2" t="s">
        <v>45</v>
      </c>
      <c r="E5" s="4" t="s">
        <v>46</v>
      </c>
      <c r="F5">
        <v>294</v>
      </c>
      <c r="G5">
        <v>2020</v>
      </c>
      <c r="H5" t="s">
        <v>36</v>
      </c>
      <c r="I5" t="s">
        <v>224</v>
      </c>
      <c r="J5" t="s">
        <v>31</v>
      </c>
      <c r="K5">
        <v>104.0419</v>
      </c>
      <c r="L5">
        <v>0.49590000000000001</v>
      </c>
      <c r="O5">
        <v>21.91</v>
      </c>
      <c r="P5">
        <v>-28.776</v>
      </c>
      <c r="Q5" s="10">
        <v>44124</v>
      </c>
      <c r="R5" t="s">
        <v>47</v>
      </c>
      <c r="S5" t="s">
        <v>48</v>
      </c>
      <c r="T5" t="s">
        <v>33</v>
      </c>
      <c r="U5">
        <v>103.53700000000001</v>
      </c>
      <c r="V5">
        <v>0.46629999999999999</v>
      </c>
      <c r="Y5">
        <v>3.16</v>
      </c>
      <c r="Z5">
        <v>-20.93</v>
      </c>
      <c r="AA5">
        <v>294</v>
      </c>
      <c r="AB5">
        <v>2020</v>
      </c>
      <c r="AC5" s="15">
        <f t="shared" si="0"/>
        <v>-1</v>
      </c>
      <c r="AD5" s="30">
        <v>44125</v>
      </c>
      <c r="AE5" s="3">
        <v>4.93</v>
      </c>
      <c r="AF5" s="3">
        <v>32</v>
      </c>
      <c r="AG5" s="3">
        <v>28.5</v>
      </c>
      <c r="AH5" s="3">
        <v>6.59</v>
      </c>
      <c r="AI5" s="3">
        <v>0.51</v>
      </c>
      <c r="AJ5" s="3">
        <v>6.45</v>
      </c>
      <c r="AK5" s="3">
        <v>5.53</v>
      </c>
      <c r="AL5" s="3" t="s">
        <v>32</v>
      </c>
      <c r="AM5" s="3">
        <v>24.14638321</v>
      </c>
      <c r="AN5" s="3">
        <v>1862.5680279999999</v>
      </c>
      <c r="AO5" s="3" t="s">
        <v>32</v>
      </c>
      <c r="AP5" s="3">
        <v>1406.214086</v>
      </c>
      <c r="AQ5" s="3">
        <v>38.079240310000003</v>
      </c>
      <c r="AR5" s="3">
        <v>5271.9869870000002</v>
      </c>
      <c r="AS5" s="3">
        <v>570.14176699999996</v>
      </c>
      <c r="AT5" s="3">
        <v>1529.151192</v>
      </c>
      <c r="AU5" s="3">
        <v>804.26974529999995</v>
      </c>
      <c r="AV5" s="3">
        <v>7.6283059999999996E-3</v>
      </c>
      <c r="AW5" s="3">
        <v>-12.99443438</v>
      </c>
      <c r="AX5" s="3">
        <v>-94.086510849999996</v>
      </c>
      <c r="AY5" s="3">
        <v>1.5420795430000001</v>
      </c>
      <c r="AZ5" s="3" t="s">
        <v>32</v>
      </c>
      <c r="BA5" s="3" t="s">
        <v>32</v>
      </c>
      <c r="BB5" s="3" t="s">
        <v>32</v>
      </c>
      <c r="BC5" s="3">
        <v>4.93</v>
      </c>
      <c r="BD5" s="3">
        <v>4.266666667</v>
      </c>
      <c r="BE5" s="3">
        <v>1.5420645120000001</v>
      </c>
      <c r="BF5" s="3">
        <v>1.503709038</v>
      </c>
      <c r="BG5" s="3" t="s">
        <v>32</v>
      </c>
      <c r="BH5" s="29">
        <v>44125</v>
      </c>
      <c r="BI5" s="3">
        <v>36</v>
      </c>
    </row>
    <row r="6" spans="1:61" x14ac:dyDescent="0.2">
      <c r="A6">
        <v>47</v>
      </c>
      <c r="B6" t="s">
        <v>36</v>
      </c>
      <c r="C6" s="10">
        <v>44316</v>
      </c>
      <c r="D6" s="2" t="s">
        <v>49</v>
      </c>
      <c r="E6" s="4" t="s">
        <v>50</v>
      </c>
      <c r="F6">
        <v>120</v>
      </c>
      <c r="G6">
        <v>2021</v>
      </c>
      <c r="H6" t="s">
        <v>36</v>
      </c>
      <c r="I6" t="s">
        <v>224</v>
      </c>
      <c r="J6" t="s">
        <v>31</v>
      </c>
      <c r="K6">
        <v>109.6935</v>
      </c>
      <c r="L6">
        <v>0.50219999999999998</v>
      </c>
      <c r="O6">
        <v>20.6</v>
      </c>
      <c r="P6">
        <v>-28.2</v>
      </c>
      <c r="Q6" s="10">
        <v>44316</v>
      </c>
      <c r="R6" t="s">
        <v>51</v>
      </c>
      <c r="S6" t="s">
        <v>52</v>
      </c>
      <c r="T6" t="s">
        <v>33</v>
      </c>
      <c r="U6">
        <v>105.7166</v>
      </c>
      <c r="V6">
        <v>0.4753</v>
      </c>
      <c r="Y6">
        <v>3.64</v>
      </c>
      <c r="Z6">
        <v>-21.863</v>
      </c>
      <c r="AA6">
        <v>120</v>
      </c>
      <c r="AB6">
        <v>2021</v>
      </c>
      <c r="AC6">
        <f t="shared" si="0"/>
        <v>1</v>
      </c>
      <c r="AD6" s="10">
        <v>44315</v>
      </c>
      <c r="AE6">
        <v>4.96</v>
      </c>
      <c r="AF6">
        <v>24.27</v>
      </c>
      <c r="AG6">
        <v>21.7</v>
      </c>
      <c r="AH6">
        <v>54.01</v>
      </c>
      <c r="AI6">
        <v>0.53</v>
      </c>
      <c r="AJ6">
        <v>243.56</v>
      </c>
      <c r="AK6">
        <v>22.14</v>
      </c>
      <c r="AL6">
        <v>435.00099999999998</v>
      </c>
      <c r="AM6">
        <v>13.210634667451099</v>
      </c>
      <c r="AN6">
        <v>946.47658715655302</v>
      </c>
      <c r="AO6">
        <v>631.73500000000001</v>
      </c>
      <c r="AP6">
        <v>790.98849195884497</v>
      </c>
      <c r="AQ6">
        <v>22.484641389857501</v>
      </c>
      <c r="AR6">
        <v>2086.8623822712102</v>
      </c>
      <c r="AS6">
        <v>212.750771898023</v>
      </c>
      <c r="AT6">
        <v>1034.13064100009</v>
      </c>
      <c r="AU6">
        <v>372.76360041360601</v>
      </c>
      <c r="AV6">
        <v>9.4150492603970008E-3</v>
      </c>
      <c r="AW6">
        <v>-14.8722089935819</v>
      </c>
      <c r="AX6">
        <v>-108.263403723522</v>
      </c>
      <c r="AY6">
        <v>1.61114043524757</v>
      </c>
      <c r="AZ6" t="s">
        <v>32</v>
      </c>
      <c r="BA6" t="s">
        <v>32</v>
      </c>
      <c r="BB6" t="s">
        <v>32</v>
      </c>
      <c r="BC6">
        <v>5</v>
      </c>
      <c r="BD6">
        <v>5.1479503567494396</v>
      </c>
      <c r="BE6">
        <v>1.5314441834092101</v>
      </c>
      <c r="BF6">
        <v>1.4859048143397899</v>
      </c>
      <c r="BG6" t="s">
        <v>32</v>
      </c>
      <c r="BH6" s="1">
        <v>44315</v>
      </c>
      <c r="BI6">
        <v>50</v>
      </c>
    </row>
    <row r="7" spans="1:61" x14ac:dyDescent="0.2">
      <c r="A7">
        <v>49</v>
      </c>
      <c r="B7" t="s">
        <v>36</v>
      </c>
      <c r="C7" s="10">
        <v>44428</v>
      </c>
      <c r="D7" s="2" t="s">
        <v>53</v>
      </c>
      <c r="E7" s="4" t="s">
        <v>54</v>
      </c>
      <c r="F7">
        <v>232</v>
      </c>
      <c r="G7">
        <v>2021</v>
      </c>
      <c r="H7" t="s">
        <v>36</v>
      </c>
      <c r="I7" t="s">
        <v>224</v>
      </c>
      <c r="J7" t="s">
        <v>31</v>
      </c>
      <c r="K7">
        <v>107.89239999999999</v>
      </c>
      <c r="L7">
        <v>0.47010000000000002</v>
      </c>
      <c r="O7">
        <v>31.89</v>
      </c>
      <c r="P7">
        <v>-28.834</v>
      </c>
      <c r="Q7" s="10">
        <v>44428</v>
      </c>
      <c r="R7" t="s">
        <v>55</v>
      </c>
      <c r="S7" t="s">
        <v>56</v>
      </c>
      <c r="T7" t="s">
        <v>33</v>
      </c>
      <c r="U7">
        <v>107.9113</v>
      </c>
      <c r="V7">
        <v>0.496</v>
      </c>
      <c r="Y7">
        <v>4.43</v>
      </c>
      <c r="Z7">
        <v>-20.626999999999999</v>
      </c>
      <c r="AA7">
        <v>232</v>
      </c>
      <c r="AB7">
        <v>2021</v>
      </c>
      <c r="AC7">
        <f t="shared" si="0"/>
        <v>2</v>
      </c>
      <c r="AD7" s="10">
        <v>44426</v>
      </c>
      <c r="AE7">
        <v>4.53</v>
      </c>
      <c r="AF7">
        <v>44.01</v>
      </c>
      <c r="AG7">
        <v>68.900000000000006</v>
      </c>
      <c r="AH7">
        <v>74.61</v>
      </c>
      <c r="AI7">
        <v>1.35</v>
      </c>
      <c r="AJ7">
        <v>26.98</v>
      </c>
      <c r="AK7">
        <v>14.68</v>
      </c>
      <c r="AL7">
        <v>352.27300000000002</v>
      </c>
      <c r="AM7">
        <v>62.457139556481998</v>
      </c>
      <c r="AN7">
        <v>1273.1782328971501</v>
      </c>
      <c r="AO7">
        <v>1255.3499999999999</v>
      </c>
      <c r="AP7">
        <v>2799.3632667727102</v>
      </c>
      <c r="AQ7">
        <v>90.665655929109107</v>
      </c>
      <c r="AR7">
        <v>3067.19514392579</v>
      </c>
      <c r="AS7">
        <v>448.43306560042299</v>
      </c>
      <c r="AT7">
        <v>2471.7921562931601</v>
      </c>
      <c r="AU7">
        <v>2220.2868684464402</v>
      </c>
      <c r="AV7">
        <v>3.84871861550466E-2</v>
      </c>
      <c r="AW7">
        <v>-11.5942975876753</v>
      </c>
      <c r="AX7">
        <v>-83.383114405044395</v>
      </c>
      <c r="AY7">
        <v>1.8953315852952399</v>
      </c>
      <c r="AZ7" t="s">
        <v>32</v>
      </c>
      <c r="BA7">
        <v>4.96284016333927</v>
      </c>
      <c r="BB7" t="s">
        <v>32</v>
      </c>
      <c r="BC7">
        <v>4.53</v>
      </c>
      <c r="BD7">
        <v>10</v>
      </c>
      <c r="BE7">
        <v>1.8953131109717301</v>
      </c>
      <c r="BF7">
        <v>1.8733600651276701</v>
      </c>
      <c r="BG7">
        <v>4.96284016333927</v>
      </c>
      <c r="BH7" s="1">
        <v>44426</v>
      </c>
      <c r="BI7">
        <v>67</v>
      </c>
    </row>
    <row r="8" spans="1:61" x14ac:dyDescent="0.2">
      <c r="A8">
        <v>50</v>
      </c>
      <c r="B8" t="s">
        <v>36</v>
      </c>
      <c r="C8" s="10">
        <v>44463</v>
      </c>
      <c r="D8" s="2" t="s">
        <v>57</v>
      </c>
      <c r="E8" s="4" t="s">
        <v>58</v>
      </c>
      <c r="F8">
        <v>267</v>
      </c>
      <c r="G8">
        <v>2021</v>
      </c>
      <c r="H8" t="s">
        <v>36</v>
      </c>
      <c r="I8" t="s">
        <v>225</v>
      </c>
      <c r="J8" t="s">
        <v>31</v>
      </c>
      <c r="K8">
        <v>109.0089</v>
      </c>
      <c r="L8">
        <v>0.55010000000000003</v>
      </c>
      <c r="O8">
        <v>41.58</v>
      </c>
      <c r="P8">
        <v>-28.741</v>
      </c>
      <c r="Q8" s="10">
        <v>44463</v>
      </c>
      <c r="R8" t="s">
        <v>59</v>
      </c>
      <c r="S8" t="s">
        <v>60</v>
      </c>
      <c r="T8" t="s">
        <v>33</v>
      </c>
      <c r="U8">
        <v>104.1309</v>
      </c>
      <c r="V8">
        <v>0.4783</v>
      </c>
      <c r="Y8">
        <v>4.49</v>
      </c>
      <c r="Z8">
        <v>-22.777999999999999</v>
      </c>
      <c r="AA8">
        <v>267</v>
      </c>
      <c r="AB8">
        <v>2021</v>
      </c>
      <c r="AC8">
        <f t="shared" si="0"/>
        <v>11</v>
      </c>
      <c r="AD8" s="10">
        <v>44452</v>
      </c>
      <c r="AE8">
        <v>5.0599999999999996</v>
      </c>
      <c r="AF8">
        <v>29.07</v>
      </c>
      <c r="AG8">
        <v>36.200000000000003</v>
      </c>
      <c r="AH8">
        <v>8.41</v>
      </c>
      <c r="AI8">
        <v>0.7</v>
      </c>
      <c r="AJ8">
        <v>15.84</v>
      </c>
      <c r="AK8">
        <v>6.88</v>
      </c>
      <c r="AL8">
        <v>423.48099999999999</v>
      </c>
      <c r="AM8">
        <v>26.962353278367299</v>
      </c>
      <c r="AN8">
        <v>1353.47879180735</v>
      </c>
      <c r="AO8">
        <v>1451.73</v>
      </c>
      <c r="AP8">
        <v>1426.2461580548099</v>
      </c>
      <c r="AQ8">
        <v>28.3052343551429</v>
      </c>
      <c r="AR8">
        <v>2912.8682432056798</v>
      </c>
      <c r="AS8">
        <v>268.23839308648598</v>
      </c>
      <c r="AT8">
        <v>1175.9489450638901</v>
      </c>
      <c r="AU8">
        <v>1331.42916909411</v>
      </c>
      <c r="AV8">
        <v>5.4232182422947897E-3</v>
      </c>
      <c r="AW8">
        <v>-12.682099740084</v>
      </c>
      <c r="AX8">
        <v>-91.460062057551298</v>
      </c>
      <c r="AY8">
        <v>1.57746118934903</v>
      </c>
      <c r="AZ8" t="s">
        <v>32</v>
      </c>
      <c r="BA8">
        <v>3.83965427424658</v>
      </c>
      <c r="BB8" t="s">
        <v>32</v>
      </c>
      <c r="BC8">
        <v>5.0599999999999996</v>
      </c>
      <c r="BD8">
        <v>8</v>
      </c>
      <c r="BE8">
        <v>1.5774458133965801</v>
      </c>
      <c r="BF8">
        <v>1.52008190267542</v>
      </c>
      <c r="BG8">
        <v>3.83965427424658</v>
      </c>
      <c r="BH8" s="1">
        <v>44452</v>
      </c>
      <c r="BI8">
        <v>68</v>
      </c>
    </row>
    <row r="9" spans="1:61" x14ac:dyDescent="0.2">
      <c r="A9">
        <v>52</v>
      </c>
      <c r="B9" t="s">
        <v>36</v>
      </c>
      <c r="C9" s="10">
        <v>44466</v>
      </c>
      <c r="D9" s="2" t="s">
        <v>61</v>
      </c>
      <c r="E9" s="4" t="s">
        <v>62</v>
      </c>
      <c r="F9">
        <v>270</v>
      </c>
      <c r="G9">
        <v>2021</v>
      </c>
      <c r="H9" t="s">
        <v>36</v>
      </c>
      <c r="I9" t="s">
        <v>225</v>
      </c>
      <c r="J9" t="s">
        <v>31</v>
      </c>
      <c r="K9">
        <v>105.3721</v>
      </c>
      <c r="L9">
        <v>0.53180000000000005</v>
      </c>
      <c r="O9">
        <v>31.11</v>
      </c>
      <c r="P9">
        <v>-28.53</v>
      </c>
      <c r="Q9" s="10">
        <v>44466</v>
      </c>
      <c r="R9" t="s">
        <v>63</v>
      </c>
      <c r="S9" t="s">
        <v>64</v>
      </c>
      <c r="T9" t="s">
        <v>33</v>
      </c>
      <c r="U9">
        <v>105.2227</v>
      </c>
      <c r="V9">
        <v>0.4834</v>
      </c>
      <c r="Y9">
        <v>5.84</v>
      </c>
      <c r="Z9">
        <v>-20.556000000000001</v>
      </c>
      <c r="AA9">
        <v>270</v>
      </c>
      <c r="AB9">
        <v>2021</v>
      </c>
      <c r="AC9">
        <f t="shared" si="0"/>
        <v>14</v>
      </c>
      <c r="AD9" s="10">
        <v>44452</v>
      </c>
      <c r="AE9">
        <v>5.0599999999999996</v>
      </c>
      <c r="AF9">
        <v>29.07</v>
      </c>
      <c r="AG9">
        <v>36.200000000000003</v>
      </c>
      <c r="AH9">
        <v>8.41</v>
      </c>
      <c r="AI9">
        <v>0.7</v>
      </c>
      <c r="AJ9">
        <v>15.84</v>
      </c>
      <c r="AK9">
        <v>6.88</v>
      </c>
      <c r="AL9">
        <v>423.48099999999999</v>
      </c>
      <c r="AM9">
        <v>26.962353278367299</v>
      </c>
      <c r="AN9">
        <v>1353.47879180735</v>
      </c>
      <c r="AO9">
        <v>1451.73</v>
      </c>
      <c r="AP9">
        <v>1426.2461580548099</v>
      </c>
      <c r="AQ9">
        <v>28.3052343551429</v>
      </c>
      <c r="AR9">
        <v>2912.8682432056798</v>
      </c>
      <c r="AS9">
        <v>268.23839308648598</v>
      </c>
      <c r="AT9">
        <v>1175.9489450638901</v>
      </c>
      <c r="AU9">
        <v>1331.42916909411</v>
      </c>
      <c r="AV9">
        <v>5.4232182422947897E-3</v>
      </c>
      <c r="AW9">
        <v>-12.682099740084</v>
      </c>
      <c r="AX9">
        <v>-91.460062057551298</v>
      </c>
      <c r="AY9">
        <v>1.57746118934903</v>
      </c>
      <c r="AZ9" t="s">
        <v>32</v>
      </c>
      <c r="BA9">
        <v>3.83965427424658</v>
      </c>
      <c r="BB9" t="s">
        <v>32</v>
      </c>
      <c r="BC9">
        <v>5.0599999999999996</v>
      </c>
      <c r="BD9">
        <v>8</v>
      </c>
      <c r="BE9">
        <v>1.5774458133965801</v>
      </c>
      <c r="BF9">
        <v>1.52008190267542</v>
      </c>
      <c r="BG9">
        <v>3.83965427424658</v>
      </c>
      <c r="BH9" s="1">
        <v>44452</v>
      </c>
      <c r="BI9">
        <v>68</v>
      </c>
    </row>
    <row r="10" spans="1:61" x14ac:dyDescent="0.2">
      <c r="A10">
        <v>54</v>
      </c>
      <c r="B10" t="s">
        <v>36</v>
      </c>
      <c r="C10" s="10">
        <v>44495</v>
      </c>
      <c r="D10" s="2" t="s">
        <v>65</v>
      </c>
      <c r="E10" s="4" t="s">
        <v>66</v>
      </c>
      <c r="F10">
        <v>299</v>
      </c>
      <c r="G10">
        <v>2021</v>
      </c>
      <c r="H10" t="s">
        <v>36</v>
      </c>
      <c r="I10" t="s">
        <v>225</v>
      </c>
      <c r="J10" t="s">
        <v>31</v>
      </c>
      <c r="K10">
        <v>106.9207</v>
      </c>
      <c r="L10">
        <v>0.4924</v>
      </c>
      <c r="O10">
        <v>20.22</v>
      </c>
      <c r="P10">
        <v>-28.638999999999999</v>
      </c>
      <c r="Q10" s="10">
        <v>44495</v>
      </c>
      <c r="R10" t="s">
        <v>67</v>
      </c>
      <c r="S10" t="s">
        <v>68</v>
      </c>
      <c r="T10" t="s">
        <v>33</v>
      </c>
      <c r="U10">
        <v>105.49039999999999</v>
      </c>
      <c r="V10">
        <v>0.48359999999999997</v>
      </c>
      <c r="Y10">
        <v>4.24</v>
      </c>
      <c r="Z10">
        <v>-21.565999999999999</v>
      </c>
      <c r="AA10">
        <v>299</v>
      </c>
      <c r="AB10">
        <v>2021</v>
      </c>
      <c r="AC10">
        <f t="shared" si="0"/>
        <v>1</v>
      </c>
      <c r="AD10" s="10">
        <v>44494</v>
      </c>
      <c r="AE10">
        <v>5.0599999999999996</v>
      </c>
      <c r="AF10">
        <v>29.67</v>
      </c>
      <c r="AG10">
        <v>29</v>
      </c>
      <c r="AH10">
        <v>256.29000000000002</v>
      </c>
      <c r="AI10">
        <v>1.06</v>
      </c>
      <c r="AJ10">
        <v>241.64</v>
      </c>
      <c r="AK10">
        <v>18.62</v>
      </c>
      <c r="AL10">
        <v>695.82500000000005</v>
      </c>
      <c r="AM10">
        <v>22.635595099884199</v>
      </c>
      <c r="AN10">
        <v>1137.20492668461</v>
      </c>
      <c r="AO10">
        <v>1277.27</v>
      </c>
      <c r="AP10">
        <v>1056.62254800509</v>
      </c>
      <c r="AQ10">
        <v>30.8182201693146</v>
      </c>
      <c r="AR10">
        <v>2419.2141570065601</v>
      </c>
      <c r="AS10">
        <v>249.654648049548</v>
      </c>
      <c r="AT10">
        <v>1263.65978879729</v>
      </c>
      <c r="AU10">
        <v>755.77623503829602</v>
      </c>
      <c r="AV10">
        <v>7.86129656253301E-3</v>
      </c>
      <c r="AW10">
        <v>-12.935824108570801</v>
      </c>
      <c r="AX10">
        <v>-92.780291108471104</v>
      </c>
      <c r="AY10">
        <v>1.1883609481713999</v>
      </c>
      <c r="AZ10" t="s">
        <v>32</v>
      </c>
      <c r="BA10">
        <v>1.55659086047007</v>
      </c>
      <c r="BB10" t="s">
        <v>32</v>
      </c>
      <c r="BC10">
        <v>5.0599999999999996</v>
      </c>
      <c r="BD10">
        <v>4</v>
      </c>
      <c r="BE10">
        <v>1.1883493648871</v>
      </c>
      <c r="BF10">
        <v>1.1491206286111599</v>
      </c>
      <c r="BG10">
        <v>1.55659086047008</v>
      </c>
      <c r="BH10" s="1">
        <v>44494</v>
      </c>
      <c r="BI10">
        <v>70</v>
      </c>
    </row>
    <row r="11" spans="1:61" x14ac:dyDescent="0.2">
      <c r="A11">
        <v>55</v>
      </c>
      <c r="B11" t="s">
        <v>36</v>
      </c>
      <c r="C11" s="10">
        <v>44684</v>
      </c>
      <c r="D11" s="2" t="s">
        <v>69</v>
      </c>
      <c r="E11" s="4" t="s">
        <v>70</v>
      </c>
      <c r="F11">
        <v>123</v>
      </c>
      <c r="G11">
        <v>2022</v>
      </c>
      <c r="H11" t="s">
        <v>36</v>
      </c>
      <c r="I11" t="s">
        <v>225</v>
      </c>
      <c r="J11" t="s">
        <v>31</v>
      </c>
      <c r="K11">
        <v>106.685</v>
      </c>
      <c r="L11">
        <v>0.50580000000000003</v>
      </c>
      <c r="O11">
        <v>11.72</v>
      </c>
      <c r="P11">
        <v>-28.347000000000001</v>
      </c>
      <c r="Q11" s="10">
        <v>44684</v>
      </c>
      <c r="R11" t="s">
        <v>71</v>
      </c>
      <c r="S11" t="s">
        <v>72</v>
      </c>
      <c r="T11" t="s">
        <v>33</v>
      </c>
      <c r="U11">
        <v>105.4631</v>
      </c>
      <c r="V11">
        <v>0.50209999999999999</v>
      </c>
      <c r="Y11">
        <v>3.42</v>
      </c>
      <c r="Z11">
        <v>-20.619</v>
      </c>
      <c r="AA11">
        <v>123</v>
      </c>
      <c r="AB11">
        <v>2022</v>
      </c>
      <c r="AC11">
        <f t="shared" si="0"/>
        <v>0</v>
      </c>
      <c r="AD11" s="10">
        <v>44684</v>
      </c>
      <c r="AE11">
        <v>5.27</v>
      </c>
      <c r="AF11">
        <v>31.12</v>
      </c>
      <c r="AG11">
        <v>16.2</v>
      </c>
      <c r="AH11">
        <v>895.59</v>
      </c>
      <c r="AI11">
        <v>1.73</v>
      </c>
      <c r="AJ11">
        <v>517.07000000000005</v>
      </c>
      <c r="AK11">
        <v>19.2</v>
      </c>
      <c r="AL11">
        <v>831.58</v>
      </c>
      <c r="AM11">
        <v>21</v>
      </c>
      <c r="AN11">
        <v>1600</v>
      </c>
      <c r="AO11">
        <v>1178.51</v>
      </c>
      <c r="AP11">
        <v>1300</v>
      </c>
      <c r="AQ11">
        <v>40</v>
      </c>
      <c r="AR11">
        <v>4500</v>
      </c>
      <c r="AS11">
        <v>530</v>
      </c>
      <c r="AT11">
        <v>2400</v>
      </c>
      <c r="AU11">
        <v>480</v>
      </c>
      <c r="AV11">
        <v>5.4000000000000003E-3</v>
      </c>
      <c r="AW11" t="s">
        <v>32</v>
      </c>
      <c r="AX11" t="s">
        <v>32</v>
      </c>
      <c r="AY11">
        <v>1.32723807092691</v>
      </c>
      <c r="AZ11">
        <v>1525.97171635515</v>
      </c>
      <c r="BA11" t="s">
        <v>32</v>
      </c>
      <c r="BB11">
        <v>1.3270905537487501</v>
      </c>
      <c r="BC11">
        <v>5.27</v>
      </c>
      <c r="BD11">
        <v>1.77974004346487</v>
      </c>
      <c r="BE11">
        <v>1.32722513396871</v>
      </c>
      <c r="BF11">
        <v>1.2615553392305501</v>
      </c>
      <c r="BG11" t="s">
        <v>32</v>
      </c>
      <c r="BH11" s="1">
        <v>44684</v>
      </c>
      <c r="BI11">
        <v>79</v>
      </c>
    </row>
    <row r="12" spans="1:61" x14ac:dyDescent="0.2">
      <c r="A12">
        <v>56</v>
      </c>
      <c r="B12" t="s">
        <v>36</v>
      </c>
      <c r="C12" s="10">
        <v>44796</v>
      </c>
      <c r="D12" s="2" t="s">
        <v>73</v>
      </c>
      <c r="E12" s="4" t="s">
        <v>74</v>
      </c>
      <c r="F12">
        <v>235</v>
      </c>
      <c r="G12">
        <v>2022</v>
      </c>
      <c r="H12" t="s">
        <v>36</v>
      </c>
      <c r="I12" t="s">
        <v>225</v>
      </c>
      <c r="J12" t="s">
        <v>31</v>
      </c>
      <c r="K12">
        <v>107.4021</v>
      </c>
      <c r="L12">
        <v>0.46800000000000003</v>
      </c>
      <c r="O12">
        <v>20.3</v>
      </c>
      <c r="P12">
        <v>-28.428999999999998</v>
      </c>
      <c r="Q12" s="10">
        <v>44796</v>
      </c>
      <c r="R12" t="s">
        <v>75</v>
      </c>
      <c r="S12" t="s">
        <v>76</v>
      </c>
      <c r="T12" t="s">
        <v>33</v>
      </c>
      <c r="U12">
        <v>104.4743</v>
      </c>
      <c r="V12">
        <v>0.4819</v>
      </c>
      <c r="Y12">
        <v>6.56</v>
      </c>
      <c r="Z12">
        <v>-21.344999999999999</v>
      </c>
      <c r="AA12">
        <v>235</v>
      </c>
      <c r="AB12">
        <v>2022</v>
      </c>
      <c r="AC12" s="15">
        <f t="shared" si="0"/>
        <v>-9</v>
      </c>
      <c r="AD12" s="10">
        <v>44805</v>
      </c>
      <c r="AE12">
        <v>5.72</v>
      </c>
      <c r="AF12">
        <v>23.14</v>
      </c>
      <c r="AG12">
        <v>21.5</v>
      </c>
      <c r="AH12">
        <v>9.2200000000000006</v>
      </c>
      <c r="AI12">
        <v>0.43</v>
      </c>
      <c r="AJ12">
        <v>18.59</v>
      </c>
      <c r="AK12">
        <v>3.78</v>
      </c>
      <c r="AL12">
        <v>601.33299999999997</v>
      </c>
      <c r="AM12">
        <v>12</v>
      </c>
      <c r="AN12">
        <v>2400</v>
      </c>
      <c r="AO12">
        <v>876.92399999999998</v>
      </c>
      <c r="AP12">
        <v>1800</v>
      </c>
      <c r="AQ12">
        <v>19</v>
      </c>
      <c r="AR12">
        <v>5200</v>
      </c>
      <c r="AS12">
        <v>630</v>
      </c>
      <c r="AT12">
        <v>1100</v>
      </c>
      <c r="AU12">
        <v>940</v>
      </c>
      <c r="AV12">
        <v>3.7000000000000002E-3</v>
      </c>
      <c r="AW12">
        <v>-12.6601151007387</v>
      </c>
      <c r="AX12">
        <v>-92.062597411428001</v>
      </c>
      <c r="AY12">
        <v>1.4406413238225699</v>
      </c>
      <c r="AZ12" t="s">
        <v>32</v>
      </c>
      <c r="BA12">
        <v>28.4724797113889</v>
      </c>
      <c r="BB12" t="s">
        <v>32</v>
      </c>
      <c r="BC12">
        <v>5.72</v>
      </c>
      <c r="BD12">
        <v>13.253313660804199</v>
      </c>
      <c r="BE12">
        <v>1.4406272814913501</v>
      </c>
      <c r="BF12">
        <v>1.2074144359182899</v>
      </c>
      <c r="BG12">
        <v>28.4724797113889</v>
      </c>
      <c r="BH12" s="1">
        <v>44805</v>
      </c>
      <c r="BI12">
        <v>89</v>
      </c>
    </row>
    <row r="13" spans="1:61" x14ac:dyDescent="0.2">
      <c r="A13">
        <v>57</v>
      </c>
      <c r="B13" t="s">
        <v>36</v>
      </c>
      <c r="C13" s="10">
        <v>44858</v>
      </c>
      <c r="D13" s="2" t="s">
        <v>77</v>
      </c>
      <c r="E13" s="4" t="s">
        <v>78</v>
      </c>
      <c r="F13">
        <v>297</v>
      </c>
      <c r="G13">
        <v>2022</v>
      </c>
      <c r="H13" t="s">
        <v>36</v>
      </c>
      <c r="I13" t="s">
        <v>225</v>
      </c>
      <c r="J13" t="s">
        <v>31</v>
      </c>
      <c r="K13">
        <v>105.5646</v>
      </c>
      <c r="L13">
        <v>0.45989999999999998</v>
      </c>
      <c r="O13">
        <v>14.28</v>
      </c>
      <c r="P13">
        <v>-28.451000000000001</v>
      </c>
      <c r="Q13" s="10">
        <v>44858</v>
      </c>
      <c r="R13" t="s">
        <v>79</v>
      </c>
      <c r="S13" t="s">
        <v>80</v>
      </c>
      <c r="T13" t="s">
        <v>33</v>
      </c>
      <c r="U13">
        <v>102.6694</v>
      </c>
      <c r="V13">
        <v>0.48010000000000003</v>
      </c>
      <c r="Y13">
        <v>2.5</v>
      </c>
      <c r="Z13">
        <v>-19.805</v>
      </c>
      <c r="AA13">
        <v>297</v>
      </c>
      <c r="AB13">
        <v>2022</v>
      </c>
      <c r="AC13">
        <f t="shared" si="0"/>
        <v>0</v>
      </c>
      <c r="AD13" s="10">
        <v>44858</v>
      </c>
      <c r="AE13">
        <v>5.74</v>
      </c>
      <c r="AF13">
        <v>26.65</v>
      </c>
      <c r="AG13">
        <v>16.8</v>
      </c>
      <c r="AH13">
        <v>198.02</v>
      </c>
      <c r="AI13">
        <v>0.56999999999999995</v>
      </c>
      <c r="AJ13">
        <v>45.37</v>
      </c>
      <c r="AK13">
        <v>2.37</v>
      </c>
      <c r="AL13">
        <v>905.421999999999</v>
      </c>
      <c r="AM13">
        <v>17</v>
      </c>
      <c r="AN13">
        <v>2100</v>
      </c>
      <c r="AO13">
        <v>1085.6399999999901</v>
      </c>
      <c r="AP13">
        <v>1700</v>
      </c>
      <c r="AQ13">
        <v>12</v>
      </c>
      <c r="AR13">
        <v>6300</v>
      </c>
      <c r="AS13">
        <v>640</v>
      </c>
      <c r="AT13">
        <v>1300</v>
      </c>
      <c r="AU13">
        <v>670</v>
      </c>
      <c r="AV13">
        <v>3.8999999999999998E-3</v>
      </c>
      <c r="AW13">
        <v>-12.5877552470866</v>
      </c>
      <c r="AX13">
        <v>-90.941180152586597</v>
      </c>
      <c r="AY13" t="s">
        <v>32</v>
      </c>
      <c r="AZ13" t="s">
        <v>32</v>
      </c>
      <c r="BA13" t="s">
        <v>32</v>
      </c>
      <c r="BB13" t="s">
        <v>32</v>
      </c>
      <c r="BC13" t="s">
        <v>32</v>
      </c>
      <c r="BD13" t="s">
        <v>32</v>
      </c>
      <c r="BE13" t="s">
        <v>32</v>
      </c>
      <c r="BF13" t="s">
        <v>32</v>
      </c>
      <c r="BG13" t="s">
        <v>32</v>
      </c>
      <c r="BH13" t="s">
        <v>32</v>
      </c>
      <c r="BI13">
        <v>93</v>
      </c>
    </row>
    <row r="14" spans="1:61" s="19" customFormat="1" x14ac:dyDescent="0.2">
      <c r="A14" s="19">
        <v>58</v>
      </c>
      <c r="B14" s="19" t="s">
        <v>83</v>
      </c>
      <c r="C14" s="20">
        <v>43948</v>
      </c>
      <c r="D14" s="21" t="s">
        <v>81</v>
      </c>
      <c r="E14" s="24" t="s">
        <v>82</v>
      </c>
      <c r="F14" s="19">
        <v>118</v>
      </c>
      <c r="G14" s="19">
        <v>2020</v>
      </c>
      <c r="H14" s="19" t="s">
        <v>83</v>
      </c>
      <c r="I14" s="19" t="s">
        <v>226</v>
      </c>
      <c r="J14" s="19" t="s">
        <v>31</v>
      </c>
      <c r="K14" s="19">
        <v>105.7458</v>
      </c>
      <c r="L14" s="19">
        <v>0.48380000000000001</v>
      </c>
      <c r="O14" s="19">
        <v>19.2</v>
      </c>
      <c r="P14" s="19">
        <v>-28.547999999999998</v>
      </c>
      <c r="Q14" s="25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>
        <f t="shared" si="0"/>
        <v>0</v>
      </c>
      <c r="AD14" s="20">
        <v>43948</v>
      </c>
      <c r="AE14" s="19">
        <v>4.62</v>
      </c>
      <c r="AF14" s="19">
        <v>40</v>
      </c>
      <c r="AG14" s="19">
        <v>32.953333333333298</v>
      </c>
      <c r="AH14" s="19">
        <v>9.48</v>
      </c>
      <c r="AI14" s="19">
        <v>0.58496666666666697</v>
      </c>
      <c r="AJ14" s="19">
        <v>7.6</v>
      </c>
      <c r="AK14" s="19">
        <v>3.5</v>
      </c>
      <c r="AL14" s="19">
        <v>1735.4099999999901</v>
      </c>
      <c r="AM14" s="19">
        <v>589.23981535966402</v>
      </c>
      <c r="AN14" s="19">
        <v>-13.6465857885656</v>
      </c>
      <c r="AO14" s="19">
        <v>2.0519462850329599</v>
      </c>
      <c r="AP14" s="19">
        <v>2240.4870279776101</v>
      </c>
      <c r="AR14" s="19">
        <v>2.0288756064096298</v>
      </c>
    </row>
    <row r="15" spans="1:61" x14ac:dyDescent="0.2">
      <c r="A15">
        <v>59</v>
      </c>
      <c r="B15" t="s">
        <v>83</v>
      </c>
      <c r="C15" s="10">
        <v>44124</v>
      </c>
      <c r="D15" s="2" t="s">
        <v>84</v>
      </c>
      <c r="E15" s="5" t="s">
        <v>85</v>
      </c>
      <c r="F15">
        <v>294</v>
      </c>
      <c r="G15">
        <v>2020</v>
      </c>
      <c r="H15" t="s">
        <v>83</v>
      </c>
      <c r="I15" t="s">
        <v>227</v>
      </c>
      <c r="J15" t="s">
        <v>31</v>
      </c>
      <c r="K15">
        <v>103.7323</v>
      </c>
      <c r="L15">
        <v>0.48830000000000001</v>
      </c>
      <c r="O15">
        <v>25</v>
      </c>
      <c r="P15">
        <v>-29.248999999999999</v>
      </c>
      <c r="Q15" s="10">
        <v>44124</v>
      </c>
      <c r="R15" t="s">
        <v>86</v>
      </c>
      <c r="S15" t="s">
        <v>87</v>
      </c>
      <c r="T15" t="s">
        <v>33</v>
      </c>
      <c r="U15">
        <v>97.564899999999994</v>
      </c>
      <c r="V15">
        <v>0.4607</v>
      </c>
      <c r="W15">
        <v>198</v>
      </c>
      <c r="X15">
        <v>38</v>
      </c>
      <c r="Y15">
        <v>4.8899999999999997</v>
      </c>
      <c r="Z15">
        <v>-22.881</v>
      </c>
      <c r="AA15">
        <v>294</v>
      </c>
      <c r="AB15">
        <v>2020</v>
      </c>
      <c r="AC15" s="15">
        <f t="shared" si="0"/>
        <v>13</v>
      </c>
      <c r="AD15" s="10">
        <v>44111</v>
      </c>
      <c r="AE15">
        <v>4.26</v>
      </c>
      <c r="AF15">
        <v>65</v>
      </c>
      <c r="AG15">
        <v>96.8</v>
      </c>
      <c r="AH15">
        <v>20.56</v>
      </c>
      <c r="AI15">
        <v>2.0099999999999998</v>
      </c>
      <c r="AJ15">
        <v>24.5</v>
      </c>
      <c r="AK15">
        <v>64.819999999999993</v>
      </c>
      <c r="AM15">
        <v>1444.9078818852399</v>
      </c>
      <c r="AN15">
        <v>-11.913797199132</v>
      </c>
      <c r="AO15">
        <v>2.9920749284878498</v>
      </c>
    </row>
    <row r="16" spans="1:61" x14ac:dyDescent="0.2">
      <c r="A16">
        <v>60</v>
      </c>
      <c r="B16" t="s">
        <v>83</v>
      </c>
      <c r="C16" s="10">
        <v>44316</v>
      </c>
      <c r="D16" s="2" t="s">
        <v>88</v>
      </c>
      <c r="E16" s="5" t="s">
        <v>89</v>
      </c>
      <c r="F16">
        <v>120</v>
      </c>
      <c r="G16">
        <v>2021</v>
      </c>
      <c r="H16" t="s">
        <v>83</v>
      </c>
      <c r="I16" t="s">
        <v>227</v>
      </c>
      <c r="J16" t="s">
        <v>31</v>
      </c>
      <c r="K16">
        <v>108.3271</v>
      </c>
      <c r="L16">
        <v>0.47199999999999998</v>
      </c>
      <c r="O16">
        <v>34.5</v>
      </c>
      <c r="P16">
        <v>-28.423999999999999</v>
      </c>
      <c r="Q16" s="10">
        <v>44316</v>
      </c>
      <c r="R16" t="s">
        <v>90</v>
      </c>
      <c r="S16" t="s">
        <v>91</v>
      </c>
      <c r="T16" t="s">
        <v>33</v>
      </c>
      <c r="U16">
        <v>102.828</v>
      </c>
      <c r="V16">
        <v>0.46229999999999999</v>
      </c>
      <c r="Y16">
        <v>6.08</v>
      </c>
      <c r="Z16">
        <v>-23.428000000000001</v>
      </c>
      <c r="AA16">
        <v>120</v>
      </c>
      <c r="AB16">
        <v>2021</v>
      </c>
      <c r="AC16">
        <f t="shared" si="0"/>
        <v>1</v>
      </c>
      <c r="AD16" s="10">
        <v>44315</v>
      </c>
      <c r="AE16">
        <v>4.6399999999999997</v>
      </c>
      <c r="AF16">
        <v>32.53</v>
      </c>
      <c r="AG16">
        <v>44.7</v>
      </c>
      <c r="AH16">
        <v>114.01</v>
      </c>
      <c r="AI16">
        <v>1.1000000000000001</v>
      </c>
      <c r="AJ16">
        <v>125.85</v>
      </c>
      <c r="AK16">
        <v>5.83</v>
      </c>
      <c r="AL16">
        <v>669.15099999999995</v>
      </c>
      <c r="AM16">
        <v>886.57527495782404</v>
      </c>
      <c r="AN16">
        <v>-14.7547526598646</v>
      </c>
      <c r="AO16">
        <v>2.3997389796059299</v>
      </c>
    </row>
    <row r="17" spans="1:44" x14ac:dyDescent="0.2">
      <c r="A17">
        <v>61</v>
      </c>
      <c r="B17" t="s">
        <v>83</v>
      </c>
      <c r="C17" s="10">
        <v>44428</v>
      </c>
      <c r="D17" s="2" t="s">
        <v>92</v>
      </c>
      <c r="E17" s="5" t="s">
        <v>93</v>
      </c>
      <c r="F17">
        <v>232</v>
      </c>
      <c r="G17">
        <v>2021</v>
      </c>
      <c r="H17" t="s">
        <v>83</v>
      </c>
      <c r="I17" t="s">
        <v>227</v>
      </c>
      <c r="J17" t="s">
        <v>31</v>
      </c>
      <c r="K17">
        <v>106.7334</v>
      </c>
      <c r="L17">
        <v>0.4884</v>
      </c>
      <c r="O17">
        <v>46.22</v>
      </c>
      <c r="P17">
        <v>-28.609000000000002</v>
      </c>
      <c r="Q17" s="10">
        <v>44428</v>
      </c>
      <c r="R17" t="s">
        <v>94</v>
      </c>
      <c r="S17" t="s">
        <v>95</v>
      </c>
      <c r="T17" t="s">
        <v>33</v>
      </c>
      <c r="U17">
        <v>104.4894</v>
      </c>
      <c r="V17">
        <v>0.45550000000000002</v>
      </c>
      <c r="Y17">
        <v>5.52</v>
      </c>
      <c r="Z17">
        <v>-21.329000000000001</v>
      </c>
      <c r="AA17">
        <v>232</v>
      </c>
      <c r="AB17">
        <v>2021</v>
      </c>
      <c r="AC17">
        <f t="shared" si="0"/>
        <v>2</v>
      </c>
      <c r="AD17" s="10">
        <v>44426</v>
      </c>
      <c r="AE17">
        <v>4.24</v>
      </c>
      <c r="AF17">
        <v>63.96</v>
      </c>
      <c r="AG17">
        <v>106.6</v>
      </c>
      <c r="AH17">
        <v>388.26</v>
      </c>
      <c r="AI17">
        <v>3.02</v>
      </c>
      <c r="AJ17">
        <v>495.97</v>
      </c>
      <c r="AK17">
        <v>43.26</v>
      </c>
      <c r="AL17">
        <v>424.78899999999999</v>
      </c>
      <c r="AM17">
        <v>2096.9489693007499</v>
      </c>
      <c r="AN17">
        <v>-11.578142829466801</v>
      </c>
      <c r="AO17">
        <v>2.5451536192471398</v>
      </c>
    </row>
    <row r="18" spans="1:44" x14ac:dyDescent="0.2">
      <c r="A18">
        <v>62</v>
      </c>
      <c r="B18" t="s">
        <v>83</v>
      </c>
      <c r="C18" s="10">
        <v>44463</v>
      </c>
      <c r="D18" s="2" t="s">
        <v>96</v>
      </c>
      <c r="E18" s="5" t="s">
        <v>97</v>
      </c>
      <c r="F18">
        <v>267</v>
      </c>
      <c r="G18">
        <v>2021</v>
      </c>
      <c r="H18" t="s">
        <v>83</v>
      </c>
      <c r="I18" t="s">
        <v>227</v>
      </c>
      <c r="J18" t="s">
        <v>31</v>
      </c>
      <c r="K18">
        <v>108.63679999999999</v>
      </c>
      <c r="L18">
        <v>0.54849999999999999</v>
      </c>
      <c r="O18">
        <v>78.16</v>
      </c>
      <c r="P18">
        <v>-28.422999999999998</v>
      </c>
      <c r="Q18" s="10">
        <v>44463</v>
      </c>
      <c r="R18" t="s">
        <v>98</v>
      </c>
      <c r="S18" t="s">
        <v>99</v>
      </c>
      <c r="T18" t="s">
        <v>33</v>
      </c>
      <c r="U18">
        <v>103.9158</v>
      </c>
      <c r="V18">
        <v>0.47699999999999998</v>
      </c>
      <c r="Y18">
        <v>4.09</v>
      </c>
      <c r="Z18">
        <v>-23.135000000000002</v>
      </c>
      <c r="AA18">
        <v>267</v>
      </c>
      <c r="AB18">
        <v>2021</v>
      </c>
      <c r="AC18">
        <f t="shared" si="0"/>
        <v>0</v>
      </c>
      <c r="AD18" s="10">
        <v>44463</v>
      </c>
      <c r="AG18">
        <v>60.2</v>
      </c>
      <c r="AO18">
        <v>2.48944409540317</v>
      </c>
      <c r="AQ18">
        <v>1.5087723586319699</v>
      </c>
    </row>
    <row r="19" spans="1:44" x14ac:dyDescent="0.2">
      <c r="A19">
        <v>64</v>
      </c>
      <c r="B19" t="s">
        <v>83</v>
      </c>
      <c r="C19" s="10">
        <v>44466</v>
      </c>
      <c r="D19" s="2" t="s">
        <v>100</v>
      </c>
      <c r="E19" s="5" t="s">
        <v>101</v>
      </c>
      <c r="F19">
        <v>270</v>
      </c>
      <c r="G19">
        <v>2021</v>
      </c>
      <c r="H19" t="s">
        <v>83</v>
      </c>
      <c r="I19" t="s">
        <v>227</v>
      </c>
      <c r="J19" t="s">
        <v>31</v>
      </c>
      <c r="K19">
        <v>103.56270000000001</v>
      </c>
      <c r="L19">
        <v>0.52310000000000001</v>
      </c>
      <c r="O19">
        <v>53.61</v>
      </c>
      <c r="P19">
        <v>-28.407</v>
      </c>
      <c r="Q19" s="10">
        <v>44466</v>
      </c>
      <c r="R19" t="s">
        <v>102</v>
      </c>
      <c r="S19" t="s">
        <v>103</v>
      </c>
      <c r="T19" t="s">
        <v>33</v>
      </c>
      <c r="U19">
        <v>104.5501</v>
      </c>
      <c r="V19">
        <v>0.47889999999999999</v>
      </c>
      <c r="Y19">
        <v>4.96</v>
      </c>
      <c r="Z19">
        <v>-22.062999999999999</v>
      </c>
      <c r="AA19">
        <v>270</v>
      </c>
      <c r="AB19">
        <v>2021</v>
      </c>
      <c r="AC19">
        <f t="shared" si="0"/>
        <v>0</v>
      </c>
      <c r="AD19" s="10">
        <v>44466</v>
      </c>
      <c r="AG19">
        <v>71.900000000000006</v>
      </c>
      <c r="AO19">
        <v>2.7898628813744799</v>
      </c>
    </row>
    <row r="20" spans="1:44" x14ac:dyDescent="0.2">
      <c r="A20">
        <v>66</v>
      </c>
      <c r="B20" t="s">
        <v>83</v>
      </c>
      <c r="C20" s="10">
        <v>44494</v>
      </c>
      <c r="D20" s="2" t="s">
        <v>104</v>
      </c>
      <c r="E20" s="5" t="s">
        <v>105</v>
      </c>
      <c r="F20">
        <v>298</v>
      </c>
      <c r="G20">
        <v>2021</v>
      </c>
      <c r="H20" t="s">
        <v>83</v>
      </c>
      <c r="I20" t="s">
        <v>227</v>
      </c>
      <c r="J20" t="s">
        <v>31</v>
      </c>
      <c r="K20">
        <v>108.51349999999999</v>
      </c>
      <c r="L20">
        <v>0.5</v>
      </c>
      <c r="O20">
        <v>48.16</v>
      </c>
      <c r="P20">
        <v>-28.654</v>
      </c>
      <c r="Q20" s="10">
        <v>44494</v>
      </c>
      <c r="R20" t="s">
        <v>106</v>
      </c>
      <c r="S20" t="s">
        <v>107</v>
      </c>
      <c r="T20" t="s">
        <v>33</v>
      </c>
      <c r="U20">
        <v>105.8883</v>
      </c>
      <c r="V20">
        <v>0.46339999999999998</v>
      </c>
      <c r="Y20">
        <v>4.24</v>
      </c>
      <c r="Z20">
        <v>-20.997</v>
      </c>
      <c r="AA20">
        <v>298</v>
      </c>
      <c r="AB20">
        <v>2021</v>
      </c>
      <c r="AC20">
        <f t="shared" si="0"/>
        <v>0</v>
      </c>
      <c r="AD20" s="10">
        <v>44494</v>
      </c>
      <c r="AE20">
        <v>4.57</v>
      </c>
      <c r="AF20">
        <v>39.57</v>
      </c>
      <c r="AG20">
        <v>63</v>
      </c>
      <c r="AH20">
        <v>84.97</v>
      </c>
      <c r="AI20">
        <v>1.9</v>
      </c>
      <c r="AJ20">
        <v>645.67999999999995</v>
      </c>
      <c r="AK20">
        <v>34.17</v>
      </c>
      <c r="AL20">
        <v>595.49</v>
      </c>
      <c r="AM20">
        <v>1604.08350520624</v>
      </c>
      <c r="AN20">
        <v>-12.7681450418289</v>
      </c>
      <c r="AO20">
        <v>1.9328052605330699</v>
      </c>
    </row>
    <row r="21" spans="1:44" x14ac:dyDescent="0.2">
      <c r="A21">
        <v>67</v>
      </c>
      <c r="B21" t="s">
        <v>83</v>
      </c>
      <c r="C21" s="10">
        <v>44684</v>
      </c>
      <c r="D21" s="2" t="s">
        <v>108</v>
      </c>
      <c r="E21" s="5" t="s">
        <v>109</v>
      </c>
      <c r="F21">
        <v>123</v>
      </c>
      <c r="G21">
        <v>2022</v>
      </c>
      <c r="H21" t="s">
        <v>83</v>
      </c>
      <c r="I21" t="s">
        <v>227</v>
      </c>
      <c r="J21" t="s">
        <v>31</v>
      </c>
      <c r="K21">
        <v>106.2808</v>
      </c>
      <c r="L21">
        <v>0.50470000000000004</v>
      </c>
      <c r="O21">
        <v>23.36</v>
      </c>
      <c r="P21">
        <v>-28.215</v>
      </c>
      <c r="Q21" s="10">
        <v>44684</v>
      </c>
      <c r="R21" t="s">
        <v>110</v>
      </c>
      <c r="S21" t="s">
        <v>111</v>
      </c>
      <c r="T21" t="s">
        <v>33</v>
      </c>
      <c r="U21">
        <v>110.5919</v>
      </c>
      <c r="V21">
        <v>0.52890000000000004</v>
      </c>
      <c r="Y21">
        <v>3.09</v>
      </c>
      <c r="Z21">
        <v>-21.3</v>
      </c>
      <c r="AA21">
        <v>123</v>
      </c>
      <c r="AB21">
        <v>2022</v>
      </c>
      <c r="AC21">
        <f t="shared" si="0"/>
        <v>0</v>
      </c>
      <c r="AD21" s="10">
        <v>44684</v>
      </c>
      <c r="AE21">
        <v>4.82</v>
      </c>
      <c r="AF21">
        <v>31.45</v>
      </c>
      <c r="AG21">
        <v>32.1</v>
      </c>
      <c r="AH21">
        <v>206.54</v>
      </c>
      <c r="AI21">
        <v>1.39</v>
      </c>
      <c r="AJ21">
        <v>568.22</v>
      </c>
      <c r="AK21">
        <v>40.58</v>
      </c>
      <c r="AL21">
        <v>699.27</v>
      </c>
      <c r="AM21">
        <v>1000</v>
      </c>
      <c r="AN21">
        <v>-14.589187322894301</v>
      </c>
      <c r="AO21">
        <v>2.12736102191292</v>
      </c>
      <c r="AP21">
        <v>2389.5623986301098</v>
      </c>
      <c r="AR21">
        <v>2.12712557914154</v>
      </c>
    </row>
    <row r="22" spans="1:44" x14ac:dyDescent="0.2">
      <c r="A22">
        <v>68</v>
      </c>
      <c r="B22" t="s">
        <v>83</v>
      </c>
      <c r="C22" s="10">
        <v>44796</v>
      </c>
      <c r="D22" s="2" t="s">
        <v>112</v>
      </c>
      <c r="E22" s="5" t="s">
        <v>113</v>
      </c>
      <c r="F22">
        <v>235</v>
      </c>
      <c r="G22">
        <v>2022</v>
      </c>
      <c r="H22" t="s">
        <v>83</v>
      </c>
      <c r="I22" t="s">
        <v>227</v>
      </c>
      <c r="J22" t="s">
        <v>31</v>
      </c>
      <c r="K22">
        <v>107.5095</v>
      </c>
      <c r="L22">
        <v>0.46839999999999998</v>
      </c>
      <c r="O22">
        <v>37.9</v>
      </c>
      <c r="P22">
        <v>-28.129000000000001</v>
      </c>
      <c r="Q22" s="10">
        <v>44796</v>
      </c>
      <c r="R22" t="s">
        <v>114</v>
      </c>
      <c r="S22" t="s">
        <v>115</v>
      </c>
      <c r="T22" t="s">
        <v>33</v>
      </c>
      <c r="U22">
        <v>104.0137</v>
      </c>
      <c r="V22">
        <v>0.47860000000000003</v>
      </c>
      <c r="Y22">
        <v>3.79</v>
      </c>
      <c r="Z22">
        <v>-22.593</v>
      </c>
      <c r="AA22">
        <v>235</v>
      </c>
      <c r="AB22">
        <v>2022</v>
      </c>
      <c r="AC22" s="15">
        <f t="shared" si="0"/>
        <v>19</v>
      </c>
      <c r="AD22" s="10">
        <v>44777</v>
      </c>
      <c r="AE22">
        <v>4.7300000000000004</v>
      </c>
      <c r="AF22">
        <v>28.18</v>
      </c>
      <c r="AG22">
        <v>45.5</v>
      </c>
      <c r="AH22">
        <v>13.83</v>
      </c>
      <c r="AI22">
        <v>0.85</v>
      </c>
      <c r="AJ22">
        <v>24.99</v>
      </c>
      <c r="AK22">
        <v>24.12</v>
      </c>
      <c r="AL22">
        <v>406.447</v>
      </c>
      <c r="AM22">
        <v>2100</v>
      </c>
      <c r="AN22">
        <v>-12.7935936384611</v>
      </c>
      <c r="AO22">
        <v>2.4822712022715399</v>
      </c>
      <c r="AQ22">
        <v>2.0776641933850399</v>
      </c>
    </row>
    <row r="23" spans="1:44" x14ac:dyDescent="0.2">
      <c r="A23">
        <v>69</v>
      </c>
      <c r="B23" t="s">
        <v>83</v>
      </c>
      <c r="C23" s="10">
        <v>44858</v>
      </c>
      <c r="D23" s="2" t="s">
        <v>116</v>
      </c>
      <c r="E23" s="5" t="s">
        <v>117</v>
      </c>
      <c r="F23">
        <v>297</v>
      </c>
      <c r="G23">
        <v>2022</v>
      </c>
      <c r="H23" t="s">
        <v>83</v>
      </c>
      <c r="I23" t="s">
        <v>227</v>
      </c>
      <c r="J23" t="s">
        <v>31</v>
      </c>
      <c r="K23">
        <v>106.9016</v>
      </c>
      <c r="L23">
        <v>0.46579999999999999</v>
      </c>
      <c r="O23">
        <v>36.28</v>
      </c>
      <c r="P23">
        <v>-28.161000000000001</v>
      </c>
      <c r="Q23" s="10">
        <v>44858</v>
      </c>
      <c r="R23" t="s">
        <v>118</v>
      </c>
      <c r="S23" t="s">
        <v>119</v>
      </c>
      <c r="T23" t="s">
        <v>33</v>
      </c>
      <c r="U23">
        <v>102.7119</v>
      </c>
      <c r="V23">
        <v>0.48089999999999999</v>
      </c>
      <c r="Y23">
        <v>1.94</v>
      </c>
      <c r="Z23">
        <v>-23.225000000000001</v>
      </c>
      <c r="AA23">
        <v>297</v>
      </c>
      <c r="AB23">
        <v>2022</v>
      </c>
      <c r="AC23">
        <f t="shared" si="0"/>
        <v>0</v>
      </c>
      <c r="AD23" s="10">
        <v>44858</v>
      </c>
      <c r="AE23">
        <v>4.82</v>
      </c>
      <c r="AF23">
        <v>34.54</v>
      </c>
      <c r="AG23">
        <v>40.6</v>
      </c>
      <c r="AH23">
        <v>144.08000000000001</v>
      </c>
      <c r="AI23">
        <v>1.08</v>
      </c>
      <c r="AJ23">
        <v>184.7</v>
      </c>
      <c r="AK23">
        <v>12.86</v>
      </c>
      <c r="AL23">
        <v>971.52599999999995</v>
      </c>
      <c r="AM23">
        <v>1400</v>
      </c>
      <c r="AN23">
        <v>-12.3760086682958</v>
      </c>
    </row>
    <row r="24" spans="1:44" s="19" customFormat="1" x14ac:dyDescent="0.2">
      <c r="A24" s="19">
        <v>70</v>
      </c>
      <c r="B24" s="19" t="s">
        <v>122</v>
      </c>
      <c r="C24" s="20">
        <v>43902</v>
      </c>
      <c r="D24" s="21" t="s">
        <v>120</v>
      </c>
      <c r="E24" s="22" t="s">
        <v>121</v>
      </c>
      <c r="F24" s="19">
        <v>72</v>
      </c>
      <c r="G24" s="19">
        <v>2020</v>
      </c>
      <c r="H24" s="19" t="s">
        <v>122</v>
      </c>
      <c r="I24" s="19" t="s">
        <v>224</v>
      </c>
      <c r="J24" s="19" t="s">
        <v>31</v>
      </c>
      <c r="K24" s="19">
        <v>98.003600000000006</v>
      </c>
      <c r="L24" s="19">
        <v>0.44690000000000002</v>
      </c>
      <c r="M24" s="19">
        <v>162</v>
      </c>
      <c r="N24" s="19">
        <v>37</v>
      </c>
      <c r="O24" s="19">
        <v>7.79</v>
      </c>
      <c r="P24" s="19">
        <v>-29.209</v>
      </c>
      <c r="Q24" s="20">
        <v>43903</v>
      </c>
      <c r="R24" s="19" t="s">
        <v>125</v>
      </c>
      <c r="S24" s="19" t="s">
        <v>126</v>
      </c>
      <c r="T24" s="19" t="s">
        <v>33</v>
      </c>
      <c r="U24" s="19">
        <v>101.0574</v>
      </c>
      <c r="V24" s="19">
        <v>0.46310000000000001</v>
      </c>
      <c r="Y24" s="19">
        <v>5.87</v>
      </c>
      <c r="Z24" s="19">
        <v>-21.167999999999999</v>
      </c>
      <c r="AA24" s="19">
        <v>73</v>
      </c>
      <c r="AB24" s="19">
        <v>2020</v>
      </c>
      <c r="AC24" s="23">
        <f t="shared" si="0"/>
        <v>30</v>
      </c>
      <c r="AD24" s="20">
        <v>43872</v>
      </c>
      <c r="AE24" s="19">
        <v>5.08</v>
      </c>
      <c r="AF24" s="19">
        <v>41.26</v>
      </c>
      <c r="AG24" s="19">
        <v>17.3</v>
      </c>
      <c r="AH24" s="19">
        <v>70.33</v>
      </c>
      <c r="AI24" s="19">
        <v>0.46076666666666699</v>
      </c>
      <c r="AJ24" s="19">
        <v>13.89</v>
      </c>
      <c r="AK24" s="19">
        <v>6.53</v>
      </c>
      <c r="AL24" s="19">
        <v>3022.37</v>
      </c>
      <c r="AM24" s="19">
        <v>568.19644341943103</v>
      </c>
      <c r="AN24" s="19">
        <v>-13.1743010319516</v>
      </c>
      <c r="AO24" s="19">
        <v>1.7467385258579999</v>
      </c>
      <c r="AP24" s="19">
        <v>1833.2117426244799</v>
      </c>
      <c r="AR24" s="19">
        <v>1.69228525540285</v>
      </c>
    </row>
    <row r="25" spans="1:44" x14ac:dyDescent="0.2">
      <c r="A25">
        <v>71</v>
      </c>
      <c r="B25" t="s">
        <v>122</v>
      </c>
      <c r="C25" s="18">
        <v>43948</v>
      </c>
      <c r="D25" s="2" t="s">
        <v>123</v>
      </c>
      <c r="E25" s="6" t="s">
        <v>124</v>
      </c>
      <c r="F25">
        <v>118</v>
      </c>
      <c r="G25">
        <v>2020</v>
      </c>
      <c r="H25" t="s">
        <v>122</v>
      </c>
      <c r="I25" t="s">
        <v>224</v>
      </c>
      <c r="J25" t="s">
        <v>31</v>
      </c>
      <c r="K25">
        <v>105.75579999999999</v>
      </c>
      <c r="L25">
        <v>0.48449999999999999</v>
      </c>
      <c r="O25">
        <v>13.3</v>
      </c>
      <c r="P25">
        <v>-28.356999999999999</v>
      </c>
      <c r="Q25" s="13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>
        <f t="shared" si="0"/>
        <v>3</v>
      </c>
      <c r="AD25" s="10">
        <v>43945</v>
      </c>
      <c r="AE25">
        <v>4.8600000000000003</v>
      </c>
      <c r="AF25">
        <v>30</v>
      </c>
      <c r="AG25">
        <v>20.183333333333302</v>
      </c>
      <c r="AH25">
        <v>37.67</v>
      </c>
      <c r="AI25">
        <v>0.43669999999999998</v>
      </c>
      <c r="AJ25">
        <v>9.94</v>
      </c>
      <c r="AK25">
        <v>1.92</v>
      </c>
      <c r="AL25">
        <v>1471.4</v>
      </c>
      <c r="AM25">
        <v>493.37595471029999</v>
      </c>
      <c r="AN25">
        <v>-13.968138806339001</v>
      </c>
      <c r="AO25">
        <v>1.67311732170912</v>
      </c>
      <c r="AP25">
        <v>1789.8158086769899</v>
      </c>
      <c r="AR25">
        <v>1.6410845582242899</v>
      </c>
    </row>
    <row r="26" spans="1:44" x14ac:dyDescent="0.2">
      <c r="A26">
        <v>72</v>
      </c>
      <c r="B26" t="s">
        <v>122</v>
      </c>
      <c r="C26" s="10">
        <v>44070</v>
      </c>
      <c r="D26" s="2" t="s">
        <v>127</v>
      </c>
      <c r="E26" s="6" t="s">
        <v>128</v>
      </c>
      <c r="F26">
        <v>240</v>
      </c>
      <c r="G26">
        <v>2020</v>
      </c>
      <c r="H26" t="s">
        <v>122</v>
      </c>
      <c r="I26" t="s">
        <v>224</v>
      </c>
      <c r="J26" t="s">
        <v>31</v>
      </c>
      <c r="K26">
        <v>104.6028</v>
      </c>
      <c r="L26">
        <v>0.45579999999999998</v>
      </c>
      <c r="O26">
        <v>23.8</v>
      </c>
      <c r="P26">
        <v>-27.765999999999998</v>
      </c>
      <c r="Q26" s="10">
        <v>44070</v>
      </c>
      <c r="R26" t="s">
        <v>129</v>
      </c>
      <c r="S26" t="s">
        <v>130</v>
      </c>
      <c r="T26" t="s">
        <v>33</v>
      </c>
      <c r="U26">
        <v>105.31659999999999</v>
      </c>
      <c r="V26">
        <v>0.48370000000000002</v>
      </c>
      <c r="Y26">
        <v>6.09</v>
      </c>
      <c r="Z26">
        <v>-22.38</v>
      </c>
      <c r="AA26">
        <v>240</v>
      </c>
      <c r="AB26">
        <v>2020</v>
      </c>
      <c r="AC26">
        <f t="shared" si="0"/>
        <v>3</v>
      </c>
      <c r="AD26" s="10">
        <v>44067</v>
      </c>
      <c r="AE26">
        <v>5.18</v>
      </c>
      <c r="AF26">
        <v>30</v>
      </c>
      <c r="AG26">
        <v>40.31</v>
      </c>
      <c r="AH26">
        <v>7.02</v>
      </c>
      <c r="AI26">
        <v>0.74299999999999999</v>
      </c>
      <c r="AJ26">
        <v>9.0299999999999994</v>
      </c>
      <c r="AK26">
        <v>4.18</v>
      </c>
      <c r="AM26">
        <v>1710.0567787202301</v>
      </c>
      <c r="AN26">
        <v>-12.8362678787623</v>
      </c>
      <c r="AO26">
        <v>2.7644819673163301</v>
      </c>
      <c r="AQ26">
        <v>7.7313428980478003</v>
      </c>
    </row>
    <row r="27" spans="1:44" x14ac:dyDescent="0.2">
      <c r="A27">
        <v>73</v>
      </c>
      <c r="B27" t="s">
        <v>122</v>
      </c>
      <c r="C27" s="10">
        <v>44124</v>
      </c>
      <c r="D27" s="2" t="s">
        <v>131</v>
      </c>
      <c r="E27" s="6" t="s">
        <v>132</v>
      </c>
      <c r="F27">
        <v>294</v>
      </c>
      <c r="G27">
        <v>2020</v>
      </c>
      <c r="H27" t="s">
        <v>122</v>
      </c>
      <c r="I27" t="s">
        <v>224</v>
      </c>
      <c r="J27" t="s">
        <v>31</v>
      </c>
      <c r="K27">
        <v>104.65689999999999</v>
      </c>
      <c r="L27">
        <v>0.4914</v>
      </c>
      <c r="O27">
        <v>17.66</v>
      </c>
      <c r="P27">
        <v>-28.738</v>
      </c>
      <c r="Q27" s="10">
        <v>44124</v>
      </c>
      <c r="R27" t="s">
        <v>133</v>
      </c>
      <c r="S27" t="s">
        <v>134</v>
      </c>
      <c r="T27" t="s">
        <v>33</v>
      </c>
      <c r="U27">
        <v>102.9896</v>
      </c>
      <c r="V27">
        <v>0.4864</v>
      </c>
      <c r="Y27">
        <v>3.67</v>
      </c>
      <c r="Z27">
        <v>-21.222999999999999</v>
      </c>
      <c r="AA27">
        <v>294</v>
      </c>
      <c r="AB27">
        <v>2020</v>
      </c>
      <c r="AC27" s="15">
        <f t="shared" si="0"/>
        <v>13</v>
      </c>
      <c r="AD27" s="10">
        <v>44111</v>
      </c>
      <c r="AE27">
        <v>4.5999999999999996</v>
      </c>
      <c r="AF27">
        <v>49</v>
      </c>
      <c r="AG27">
        <v>53.2</v>
      </c>
      <c r="AH27">
        <v>93.76</v>
      </c>
      <c r="AI27">
        <v>1.1000000000000001</v>
      </c>
      <c r="AJ27">
        <v>17.7</v>
      </c>
      <c r="AK27">
        <v>5.55</v>
      </c>
      <c r="AM27">
        <v>1386.59133776258</v>
      </c>
      <c r="AN27">
        <v>-12.450895154708901</v>
      </c>
      <c r="AO27">
        <v>3.1282361845305302</v>
      </c>
    </row>
    <row r="28" spans="1:44" x14ac:dyDescent="0.2">
      <c r="A28">
        <v>74</v>
      </c>
      <c r="B28" t="s">
        <v>122</v>
      </c>
      <c r="C28" s="10">
        <v>44316</v>
      </c>
      <c r="D28" s="2" t="s">
        <v>135</v>
      </c>
      <c r="E28" s="6" t="s">
        <v>136</v>
      </c>
      <c r="F28">
        <v>120</v>
      </c>
      <c r="G28">
        <v>2021</v>
      </c>
      <c r="H28" t="s">
        <v>122</v>
      </c>
      <c r="I28" t="s">
        <v>224</v>
      </c>
      <c r="J28" t="s">
        <v>31</v>
      </c>
      <c r="K28">
        <v>107.9605</v>
      </c>
      <c r="L28">
        <v>0.49490000000000001</v>
      </c>
      <c r="O28">
        <v>19</v>
      </c>
      <c r="P28">
        <v>-28.297999999999998</v>
      </c>
      <c r="Q28" s="10">
        <v>44316</v>
      </c>
      <c r="R28" t="s">
        <v>137</v>
      </c>
      <c r="S28" t="s">
        <v>138</v>
      </c>
      <c r="T28" t="s">
        <v>33</v>
      </c>
      <c r="U28">
        <v>103.5562</v>
      </c>
      <c r="V28">
        <v>0.48799999999999999</v>
      </c>
      <c r="Y28">
        <v>4.45</v>
      </c>
      <c r="Z28">
        <v>-21.780999999999999</v>
      </c>
      <c r="AA28">
        <v>120</v>
      </c>
      <c r="AB28">
        <v>2021</v>
      </c>
      <c r="AC28">
        <f t="shared" si="0"/>
        <v>1</v>
      </c>
      <c r="AD28" s="10">
        <v>44315</v>
      </c>
      <c r="AE28">
        <v>4.8600000000000003</v>
      </c>
      <c r="AF28">
        <v>29.52</v>
      </c>
      <c r="AG28">
        <v>24.7</v>
      </c>
      <c r="AH28">
        <v>46.21</v>
      </c>
      <c r="AI28">
        <v>0.75</v>
      </c>
      <c r="AJ28">
        <v>17.559999999999999</v>
      </c>
      <c r="AK28">
        <v>2.63</v>
      </c>
      <c r="AL28">
        <v>866.37599999999998</v>
      </c>
      <c r="AM28">
        <v>558.43164044047205</v>
      </c>
      <c r="AN28">
        <v>-14.6060663182346</v>
      </c>
      <c r="AO28">
        <v>1.5219494342966</v>
      </c>
    </row>
    <row r="29" spans="1:44" x14ac:dyDescent="0.2">
      <c r="A29">
        <v>75</v>
      </c>
      <c r="B29" t="s">
        <v>122</v>
      </c>
      <c r="C29" s="10">
        <v>44428</v>
      </c>
      <c r="D29" s="2" t="s">
        <v>139</v>
      </c>
      <c r="E29" s="6" t="s">
        <v>140</v>
      </c>
      <c r="F29">
        <v>232</v>
      </c>
      <c r="G29">
        <v>2021</v>
      </c>
      <c r="H29" t="s">
        <v>122</v>
      </c>
      <c r="I29" t="s">
        <v>224</v>
      </c>
      <c r="J29" t="s">
        <v>31</v>
      </c>
      <c r="K29">
        <v>107.2373</v>
      </c>
      <c r="L29">
        <v>0.49170000000000003</v>
      </c>
      <c r="O29">
        <v>34.590000000000003</v>
      </c>
      <c r="P29">
        <v>-28.486000000000001</v>
      </c>
      <c r="Q29" s="10">
        <v>44428</v>
      </c>
      <c r="R29" t="s">
        <v>141</v>
      </c>
      <c r="S29" t="s">
        <v>142</v>
      </c>
      <c r="T29" t="s">
        <v>33</v>
      </c>
      <c r="U29">
        <v>103.49160000000001</v>
      </c>
      <c r="V29">
        <v>0.4758</v>
      </c>
      <c r="Y29">
        <v>4.32</v>
      </c>
      <c r="Z29">
        <v>-21.178000000000001</v>
      </c>
      <c r="AA29">
        <v>232</v>
      </c>
      <c r="AB29">
        <v>2021</v>
      </c>
      <c r="AC29">
        <f t="shared" si="0"/>
        <v>2</v>
      </c>
      <c r="AD29" s="10">
        <v>44426</v>
      </c>
      <c r="AE29">
        <v>4.3899999999999997</v>
      </c>
      <c r="AF29">
        <v>56.01</v>
      </c>
      <c r="AG29">
        <v>79.599999999999994</v>
      </c>
      <c r="AH29">
        <v>471.44</v>
      </c>
      <c r="AI29">
        <v>2.42</v>
      </c>
      <c r="AJ29">
        <v>404.96</v>
      </c>
      <c r="AK29">
        <v>9.9</v>
      </c>
      <c r="AL29">
        <v>706.16199999999901</v>
      </c>
      <c r="AM29">
        <v>2224.1043110358701</v>
      </c>
      <c r="AN29">
        <v>-11.7379593188451</v>
      </c>
      <c r="AO29">
        <v>2.4723836974157498</v>
      </c>
      <c r="AQ29">
        <v>3.5786689627780599</v>
      </c>
    </row>
    <row r="30" spans="1:44" x14ac:dyDescent="0.2">
      <c r="A30">
        <v>76</v>
      </c>
      <c r="B30" t="s">
        <v>122</v>
      </c>
      <c r="C30" s="10">
        <v>44463</v>
      </c>
      <c r="D30" s="2" t="s">
        <v>143</v>
      </c>
      <c r="E30" s="6" t="s">
        <v>144</v>
      </c>
      <c r="F30">
        <v>267</v>
      </c>
      <c r="G30">
        <v>2021</v>
      </c>
      <c r="H30" t="s">
        <v>122</v>
      </c>
      <c r="I30" t="s">
        <v>225</v>
      </c>
      <c r="J30" t="s">
        <v>31</v>
      </c>
      <c r="K30">
        <v>107.705</v>
      </c>
      <c r="L30">
        <v>0.52139999999999997</v>
      </c>
      <c r="O30">
        <v>53.26</v>
      </c>
      <c r="P30">
        <v>-28.413</v>
      </c>
      <c r="Q30" s="10">
        <v>44463</v>
      </c>
      <c r="R30" t="s">
        <v>145</v>
      </c>
      <c r="S30" t="s">
        <v>146</v>
      </c>
      <c r="T30" t="s">
        <v>33</v>
      </c>
      <c r="U30">
        <v>102.7906</v>
      </c>
      <c r="V30">
        <v>0.44800000000000001</v>
      </c>
      <c r="Y30">
        <v>5.0599999999999996</v>
      </c>
      <c r="Z30">
        <v>-23.155999999999999</v>
      </c>
      <c r="AA30">
        <v>267</v>
      </c>
      <c r="AB30">
        <v>2021</v>
      </c>
      <c r="AC30">
        <f t="shared" si="0"/>
        <v>0</v>
      </c>
      <c r="AD30" s="10">
        <v>44463</v>
      </c>
      <c r="AG30">
        <v>76.2</v>
      </c>
      <c r="AO30">
        <v>1.9487372840410799</v>
      </c>
      <c r="AQ30">
        <v>4.4207758736274902</v>
      </c>
    </row>
    <row r="31" spans="1:44" x14ac:dyDescent="0.2">
      <c r="A31">
        <v>78</v>
      </c>
      <c r="B31" t="s">
        <v>122</v>
      </c>
      <c r="C31" s="10">
        <v>44467</v>
      </c>
      <c r="D31" s="2" t="s">
        <v>147</v>
      </c>
      <c r="E31" s="6" t="s">
        <v>148</v>
      </c>
      <c r="F31">
        <v>271</v>
      </c>
      <c r="G31">
        <v>2021</v>
      </c>
      <c r="H31" t="s">
        <v>122</v>
      </c>
      <c r="I31" t="s">
        <v>225</v>
      </c>
      <c r="J31" t="s">
        <v>31</v>
      </c>
      <c r="K31">
        <v>106.30289999999999</v>
      </c>
      <c r="L31">
        <v>0.5363</v>
      </c>
      <c r="O31">
        <v>34.630000000000003</v>
      </c>
      <c r="P31">
        <v>-28.306000000000001</v>
      </c>
      <c r="Q31" s="10">
        <v>44467</v>
      </c>
      <c r="R31" t="s">
        <v>149</v>
      </c>
      <c r="S31" t="s">
        <v>150</v>
      </c>
      <c r="T31" t="s">
        <v>33</v>
      </c>
      <c r="U31">
        <v>102.4341</v>
      </c>
      <c r="V31">
        <v>0.47020000000000001</v>
      </c>
      <c r="Y31">
        <v>5.34</v>
      </c>
      <c r="Z31">
        <v>-22.135000000000002</v>
      </c>
      <c r="AA31">
        <v>271</v>
      </c>
      <c r="AB31">
        <v>2021</v>
      </c>
      <c r="AC31">
        <f t="shared" si="0"/>
        <v>0</v>
      </c>
      <c r="AD31" s="10">
        <v>44467</v>
      </c>
      <c r="AG31">
        <v>42.7</v>
      </c>
      <c r="AO31">
        <v>1.49726975890069</v>
      </c>
      <c r="AQ31">
        <v>3.8000408248392001</v>
      </c>
    </row>
    <row r="32" spans="1:44" x14ac:dyDescent="0.2">
      <c r="A32">
        <v>80</v>
      </c>
      <c r="B32" t="s">
        <v>122</v>
      </c>
      <c r="C32" s="10">
        <v>44494</v>
      </c>
      <c r="D32" s="2" t="s">
        <v>151</v>
      </c>
      <c r="E32" s="6" t="s">
        <v>152</v>
      </c>
      <c r="F32">
        <v>298</v>
      </c>
      <c r="G32">
        <v>2021</v>
      </c>
      <c r="H32" t="s">
        <v>122</v>
      </c>
      <c r="I32" t="s">
        <v>225</v>
      </c>
      <c r="J32" t="s">
        <v>31</v>
      </c>
      <c r="K32">
        <v>106.9909</v>
      </c>
      <c r="L32">
        <v>0.49259999999999998</v>
      </c>
      <c r="O32">
        <v>27.44</v>
      </c>
      <c r="P32">
        <v>-28.51</v>
      </c>
      <c r="Q32" s="10">
        <v>44494</v>
      </c>
      <c r="R32" t="s">
        <v>153</v>
      </c>
      <c r="S32" t="s">
        <v>154</v>
      </c>
      <c r="T32" t="s">
        <v>33</v>
      </c>
      <c r="U32">
        <v>109.57680000000001</v>
      </c>
      <c r="V32">
        <v>0.50509999999999999</v>
      </c>
      <c r="Y32">
        <v>3.49</v>
      </c>
      <c r="Z32">
        <v>-20.619</v>
      </c>
      <c r="AA32">
        <v>298</v>
      </c>
      <c r="AB32">
        <v>2021</v>
      </c>
      <c r="AC32">
        <f t="shared" si="0"/>
        <v>0</v>
      </c>
      <c r="AD32" s="10">
        <v>44494</v>
      </c>
      <c r="AE32">
        <v>4.92</v>
      </c>
      <c r="AF32">
        <v>32.049999999999997</v>
      </c>
      <c r="AG32">
        <v>36.6</v>
      </c>
      <c r="AH32">
        <v>136.57</v>
      </c>
      <c r="AI32">
        <v>1.23</v>
      </c>
      <c r="AJ32">
        <v>353.28</v>
      </c>
      <c r="AK32">
        <v>8.14</v>
      </c>
      <c r="AL32">
        <v>899.66499999999996</v>
      </c>
      <c r="AM32">
        <v>1031.0992828711201</v>
      </c>
      <c r="AN32">
        <v>-12.938346412048499</v>
      </c>
      <c r="AO32">
        <v>1.1666990304783</v>
      </c>
      <c r="AQ32">
        <v>1.7776296179986399</v>
      </c>
    </row>
    <row r="33" spans="1:44" x14ac:dyDescent="0.2">
      <c r="A33">
        <v>81</v>
      </c>
      <c r="B33" t="s">
        <v>122</v>
      </c>
      <c r="C33" s="10">
        <v>44684</v>
      </c>
      <c r="D33" s="2" t="s">
        <v>155</v>
      </c>
      <c r="E33" s="6" t="s">
        <v>156</v>
      </c>
      <c r="F33">
        <v>123</v>
      </c>
      <c r="G33">
        <v>2022</v>
      </c>
      <c r="H33" t="s">
        <v>122</v>
      </c>
      <c r="I33" t="s">
        <v>225</v>
      </c>
      <c r="J33" t="s">
        <v>31</v>
      </c>
      <c r="K33">
        <v>105.9709</v>
      </c>
      <c r="L33">
        <v>0.50390000000000001</v>
      </c>
      <c r="O33">
        <v>14.17</v>
      </c>
      <c r="P33">
        <v>-28.175999999999998</v>
      </c>
      <c r="Q33" s="10">
        <v>44684</v>
      </c>
      <c r="R33" t="s">
        <v>157</v>
      </c>
      <c r="S33" t="s">
        <v>158</v>
      </c>
      <c r="T33" t="s">
        <v>33</v>
      </c>
      <c r="U33">
        <v>105.3772</v>
      </c>
      <c r="V33">
        <v>0.47870000000000001</v>
      </c>
      <c r="Y33">
        <v>2.58</v>
      </c>
      <c r="Z33">
        <v>-19.882999999999999</v>
      </c>
      <c r="AA33">
        <v>123</v>
      </c>
      <c r="AB33">
        <v>2022</v>
      </c>
      <c r="AC33">
        <f t="shared" si="0"/>
        <v>0</v>
      </c>
      <c r="AD33" s="10">
        <v>44684</v>
      </c>
      <c r="AE33">
        <v>5.2</v>
      </c>
      <c r="AF33">
        <v>27.17</v>
      </c>
      <c r="AG33">
        <v>17.899999999999999</v>
      </c>
      <c r="AH33">
        <v>347.51</v>
      </c>
      <c r="AI33">
        <v>1.1000000000000001</v>
      </c>
      <c r="AJ33">
        <v>393.16</v>
      </c>
      <c r="AK33">
        <v>5.54</v>
      </c>
      <c r="AL33">
        <v>1102.78</v>
      </c>
      <c r="AM33">
        <v>670</v>
      </c>
      <c r="AO33">
        <v>1.21173475779245</v>
      </c>
      <c r="AP33">
        <v>1432.3804912405201</v>
      </c>
      <c r="AR33">
        <v>1.2115993892617301</v>
      </c>
    </row>
    <row r="34" spans="1:44" x14ac:dyDescent="0.2">
      <c r="A34">
        <v>82</v>
      </c>
      <c r="B34" t="s">
        <v>122</v>
      </c>
      <c r="C34" s="10">
        <v>44796</v>
      </c>
      <c r="D34" s="2" t="s">
        <v>159</v>
      </c>
      <c r="E34" s="6" t="s">
        <v>160</v>
      </c>
      <c r="F34">
        <v>235</v>
      </c>
      <c r="G34">
        <v>2022</v>
      </c>
      <c r="H34" t="s">
        <v>122</v>
      </c>
      <c r="I34" t="s">
        <v>225</v>
      </c>
      <c r="J34" t="s">
        <v>31</v>
      </c>
      <c r="K34">
        <v>105.32989999999999</v>
      </c>
      <c r="L34">
        <v>0.48170000000000002</v>
      </c>
      <c r="O34">
        <v>21.4</v>
      </c>
      <c r="P34">
        <v>-26.513000000000002</v>
      </c>
      <c r="Q34" s="10">
        <v>44796</v>
      </c>
      <c r="R34" t="s">
        <v>161</v>
      </c>
      <c r="S34" t="s">
        <v>162</v>
      </c>
      <c r="T34" t="s">
        <v>33</v>
      </c>
      <c r="U34">
        <v>102.8038</v>
      </c>
      <c r="V34">
        <v>0.47260000000000002</v>
      </c>
      <c r="Y34">
        <v>3.18</v>
      </c>
      <c r="Z34">
        <v>-23</v>
      </c>
      <c r="AA34">
        <v>235</v>
      </c>
      <c r="AB34">
        <v>2022</v>
      </c>
      <c r="AC34" s="15">
        <f t="shared" si="0"/>
        <v>19</v>
      </c>
      <c r="AD34" s="10">
        <v>44777</v>
      </c>
      <c r="AE34">
        <v>5.33</v>
      </c>
      <c r="AF34">
        <v>26.8</v>
      </c>
      <c r="AG34">
        <v>27.1</v>
      </c>
      <c r="AH34">
        <v>12.5</v>
      </c>
      <c r="AI34">
        <v>0.56000000000000005</v>
      </c>
      <c r="AJ34">
        <v>13.37</v>
      </c>
      <c r="AK34">
        <v>2.94</v>
      </c>
      <c r="AL34">
        <v>729.18299999999999</v>
      </c>
      <c r="AM34">
        <v>1200</v>
      </c>
      <c r="AN34">
        <v>-12.893832476420499</v>
      </c>
      <c r="AO34">
        <v>1.3923399383299699</v>
      </c>
      <c r="AQ34">
        <v>10.875936032719601</v>
      </c>
    </row>
    <row r="35" spans="1:44" x14ac:dyDescent="0.2">
      <c r="A35">
        <v>83</v>
      </c>
      <c r="B35" t="s">
        <v>122</v>
      </c>
      <c r="C35" s="10">
        <v>44859</v>
      </c>
      <c r="D35" s="2" t="s">
        <v>163</v>
      </c>
      <c r="E35" s="6" t="s">
        <v>164</v>
      </c>
      <c r="F35">
        <v>298</v>
      </c>
      <c r="G35">
        <v>2022</v>
      </c>
      <c r="H35" t="s">
        <v>122</v>
      </c>
      <c r="I35" t="s">
        <v>225</v>
      </c>
      <c r="J35" t="s">
        <v>31</v>
      </c>
      <c r="K35">
        <v>104.72709999999999</v>
      </c>
      <c r="L35">
        <v>0.4788</v>
      </c>
      <c r="O35">
        <v>17.23</v>
      </c>
      <c r="P35">
        <v>-27.495999999999999</v>
      </c>
      <c r="Q35" s="10">
        <v>44859</v>
      </c>
      <c r="R35" t="s">
        <v>165</v>
      </c>
      <c r="S35" t="s">
        <v>166</v>
      </c>
      <c r="T35" t="s">
        <v>33</v>
      </c>
      <c r="U35">
        <v>99.154600000000002</v>
      </c>
      <c r="V35">
        <v>0.4627</v>
      </c>
      <c r="W35">
        <v>68</v>
      </c>
      <c r="X35">
        <v>37</v>
      </c>
      <c r="Y35">
        <v>1.93</v>
      </c>
      <c r="Z35">
        <v>-18.231000000000002</v>
      </c>
      <c r="AA35">
        <v>298</v>
      </c>
      <c r="AB35">
        <v>2022</v>
      </c>
      <c r="AC35">
        <f t="shared" si="0"/>
        <v>1</v>
      </c>
      <c r="AD35" s="10">
        <v>44858</v>
      </c>
      <c r="AE35">
        <v>5.51</v>
      </c>
      <c r="AF35">
        <v>30.47</v>
      </c>
      <c r="AG35">
        <v>19.100000000000001</v>
      </c>
      <c r="AH35">
        <v>249.86</v>
      </c>
      <c r="AI35">
        <v>0.69</v>
      </c>
      <c r="AJ35">
        <v>35.01</v>
      </c>
      <c r="AK35">
        <v>2.14</v>
      </c>
      <c r="AL35">
        <v>1386.37</v>
      </c>
      <c r="AM35">
        <v>830</v>
      </c>
      <c r="AN35">
        <v>-12.732885113036399</v>
      </c>
    </row>
    <row r="36" spans="1:44" s="19" customFormat="1" x14ac:dyDescent="0.2">
      <c r="A36" s="19">
        <v>84</v>
      </c>
      <c r="B36" s="19" t="s">
        <v>169</v>
      </c>
      <c r="C36" s="20">
        <v>43902</v>
      </c>
      <c r="D36" s="21" t="s">
        <v>167</v>
      </c>
      <c r="E36" s="27" t="s">
        <v>168</v>
      </c>
      <c r="F36" s="19">
        <v>72</v>
      </c>
      <c r="G36" s="19">
        <v>2020</v>
      </c>
      <c r="H36" s="19" t="s">
        <v>169</v>
      </c>
      <c r="I36" s="19" t="s">
        <v>226</v>
      </c>
      <c r="J36" s="19" t="s">
        <v>31</v>
      </c>
      <c r="K36" s="19">
        <v>104.3573</v>
      </c>
      <c r="L36" s="19">
        <v>0.4768</v>
      </c>
      <c r="O36" s="19">
        <v>24.83</v>
      </c>
      <c r="P36" s="19">
        <v>-28.501999999999999</v>
      </c>
      <c r="Q36" s="20">
        <v>43902</v>
      </c>
      <c r="R36" s="19" t="s">
        <v>170</v>
      </c>
      <c r="S36" s="19" t="s">
        <v>171</v>
      </c>
      <c r="T36" s="19" t="s">
        <v>33</v>
      </c>
      <c r="U36" s="19">
        <v>99.268699999999995</v>
      </c>
      <c r="V36" s="19">
        <v>0.45639999999999997</v>
      </c>
      <c r="W36" s="19">
        <v>59</v>
      </c>
      <c r="X36" s="19">
        <v>37</v>
      </c>
      <c r="Y36" s="19">
        <v>7.94</v>
      </c>
      <c r="Z36" s="19">
        <v>-23.135000000000002</v>
      </c>
      <c r="AA36" s="19">
        <v>72</v>
      </c>
      <c r="AB36" s="19">
        <v>2020</v>
      </c>
      <c r="AC36" s="23">
        <f t="shared" si="0"/>
        <v>30</v>
      </c>
      <c r="AD36" s="20">
        <v>43872</v>
      </c>
      <c r="AE36" s="19">
        <v>4.1100000000000003</v>
      </c>
      <c r="AF36" s="19">
        <v>54.76</v>
      </c>
      <c r="AG36" s="19">
        <v>34.64</v>
      </c>
      <c r="AH36" s="19">
        <v>45.25</v>
      </c>
      <c r="AI36" s="19">
        <v>0.73099999999999998</v>
      </c>
      <c r="AJ36" s="19">
        <v>20.440000000000001</v>
      </c>
      <c r="AK36" s="19">
        <v>0.85</v>
      </c>
      <c r="AL36" s="19">
        <v>2256.67</v>
      </c>
      <c r="AM36" s="19">
        <v>1991.0901234826999</v>
      </c>
      <c r="AN36" s="19">
        <v>-13.0233226048625</v>
      </c>
      <c r="AO36" s="19">
        <v>5.6822351607092099</v>
      </c>
      <c r="AP36" s="19">
        <v>6302.1196471179901</v>
      </c>
      <c r="AQ36" s="19">
        <v>2.3658787183466798</v>
      </c>
      <c r="AR36" s="19">
        <v>5.6618975924475796</v>
      </c>
    </row>
    <row r="37" spans="1:44" x14ac:dyDescent="0.2">
      <c r="A37">
        <v>85</v>
      </c>
      <c r="B37" t="s">
        <v>169</v>
      </c>
      <c r="C37" s="10">
        <v>43948</v>
      </c>
      <c r="D37" s="2" t="s">
        <v>172</v>
      </c>
      <c r="E37" s="4" t="s">
        <v>173</v>
      </c>
      <c r="F37">
        <v>118</v>
      </c>
      <c r="G37">
        <v>2020</v>
      </c>
      <c r="H37" t="s">
        <v>169</v>
      </c>
      <c r="I37" t="s">
        <v>226</v>
      </c>
      <c r="J37" t="s">
        <v>31</v>
      </c>
      <c r="K37">
        <v>105.5294</v>
      </c>
      <c r="L37">
        <v>0.48259999999999997</v>
      </c>
      <c r="O37">
        <v>27.6</v>
      </c>
      <c r="P37">
        <v>-28.385000000000002</v>
      </c>
      <c r="Q37" s="13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>
        <f t="shared" si="0"/>
        <v>0</v>
      </c>
      <c r="AD37" s="10">
        <v>43948</v>
      </c>
      <c r="AE37">
        <v>3.96</v>
      </c>
      <c r="AF37">
        <v>60</v>
      </c>
      <c r="AG37">
        <v>34.393333333333302</v>
      </c>
      <c r="AH37">
        <v>23.39</v>
      </c>
      <c r="AI37">
        <v>0.67303333333333404</v>
      </c>
      <c r="AJ37">
        <v>22.22</v>
      </c>
      <c r="AK37">
        <v>2.31</v>
      </c>
      <c r="AL37">
        <v>1718.15</v>
      </c>
      <c r="AM37">
        <v>1496.80266617335</v>
      </c>
      <c r="AO37">
        <v>3.8683692670870999</v>
      </c>
      <c r="AP37">
        <v>4290.3982167364702</v>
      </c>
      <c r="AQ37">
        <v>2.1492343382054302</v>
      </c>
      <c r="AR37">
        <v>3.85847075653643</v>
      </c>
    </row>
    <row r="38" spans="1:44" x14ac:dyDescent="0.2">
      <c r="A38">
        <v>86</v>
      </c>
      <c r="B38" t="s">
        <v>169</v>
      </c>
      <c r="C38" s="10">
        <v>44071</v>
      </c>
      <c r="D38" s="2" t="s">
        <v>174</v>
      </c>
      <c r="E38" s="4" t="s">
        <v>175</v>
      </c>
      <c r="F38">
        <v>241</v>
      </c>
      <c r="G38">
        <v>2020</v>
      </c>
      <c r="H38" t="s">
        <v>169</v>
      </c>
      <c r="I38" t="s">
        <v>227</v>
      </c>
      <c r="J38" t="s">
        <v>31</v>
      </c>
      <c r="K38">
        <v>105.4042</v>
      </c>
      <c r="L38">
        <v>0.4829</v>
      </c>
      <c r="O38">
        <v>193.1</v>
      </c>
      <c r="P38">
        <v>-28.21</v>
      </c>
      <c r="Q38" s="10">
        <v>44071</v>
      </c>
      <c r="R38" t="s">
        <v>176</v>
      </c>
      <c r="S38" t="s">
        <v>177</v>
      </c>
      <c r="T38" t="s">
        <v>33</v>
      </c>
      <c r="U38">
        <v>102.25839999999999</v>
      </c>
      <c r="V38">
        <v>0.46910000000000002</v>
      </c>
      <c r="Y38">
        <v>4.34</v>
      </c>
      <c r="Z38">
        <v>-22.538</v>
      </c>
      <c r="AA38">
        <v>241</v>
      </c>
      <c r="AB38">
        <v>2020</v>
      </c>
      <c r="AC38">
        <f t="shared" si="0"/>
        <v>4</v>
      </c>
      <c r="AD38" s="10">
        <v>44067</v>
      </c>
      <c r="AE38">
        <v>3.94</v>
      </c>
      <c r="AF38">
        <v>70</v>
      </c>
      <c r="AG38">
        <v>293.26666666666699</v>
      </c>
      <c r="AH38">
        <v>13.71</v>
      </c>
      <c r="AI38">
        <v>4.9589999999999996</v>
      </c>
      <c r="AJ38">
        <v>114.55</v>
      </c>
      <c r="AK38">
        <v>2.02</v>
      </c>
      <c r="AM38">
        <v>49206.835639227698</v>
      </c>
      <c r="AN38">
        <v>-12.958375768896101</v>
      </c>
      <c r="AO38">
        <v>21.470429636881999</v>
      </c>
      <c r="AQ38">
        <v>1314.8344795753101</v>
      </c>
    </row>
    <row r="39" spans="1:44" x14ac:dyDescent="0.2">
      <c r="A39">
        <v>87</v>
      </c>
      <c r="B39" t="s">
        <v>169</v>
      </c>
      <c r="C39" s="10">
        <v>44124</v>
      </c>
      <c r="D39" s="2" t="s">
        <v>178</v>
      </c>
      <c r="E39" s="4" t="s">
        <v>179</v>
      </c>
      <c r="F39">
        <v>294</v>
      </c>
      <c r="G39">
        <v>2020</v>
      </c>
      <c r="H39" t="s">
        <v>169</v>
      </c>
      <c r="I39" t="s">
        <v>227</v>
      </c>
      <c r="J39" t="s">
        <v>31</v>
      </c>
      <c r="K39">
        <v>105.8008</v>
      </c>
      <c r="L39">
        <v>0.49840000000000001</v>
      </c>
      <c r="O39">
        <v>37.04</v>
      </c>
      <c r="P39">
        <v>-28.581</v>
      </c>
      <c r="Q39" s="10">
        <v>44124</v>
      </c>
      <c r="R39" t="s">
        <v>180</v>
      </c>
      <c r="S39" t="s">
        <v>181</v>
      </c>
      <c r="T39" t="s">
        <v>33</v>
      </c>
      <c r="U39">
        <v>100.0343</v>
      </c>
      <c r="V39">
        <v>0.47239999999999999</v>
      </c>
      <c r="Y39">
        <v>4</v>
      </c>
      <c r="Z39">
        <v>-23.710999999999999</v>
      </c>
      <c r="AA39">
        <v>294</v>
      </c>
      <c r="AB39">
        <v>2020</v>
      </c>
      <c r="AC39" s="15">
        <f t="shared" si="0"/>
        <v>13</v>
      </c>
      <c r="AD39" s="10">
        <v>44111</v>
      </c>
      <c r="AE39">
        <v>3.91</v>
      </c>
      <c r="AF39">
        <v>65</v>
      </c>
      <c r="AG39">
        <v>64.7</v>
      </c>
      <c r="AH39">
        <v>11.05</v>
      </c>
      <c r="AI39">
        <v>1.25</v>
      </c>
      <c r="AJ39">
        <v>14.78</v>
      </c>
      <c r="AK39">
        <v>0.52</v>
      </c>
      <c r="AM39">
        <v>3155.1918979248599</v>
      </c>
      <c r="AN39">
        <v>-12.1033689169876</v>
      </c>
      <c r="AO39">
        <v>4.8547478482192501</v>
      </c>
      <c r="AQ39">
        <v>6.9872838798005601</v>
      </c>
    </row>
    <row r="40" spans="1:44" x14ac:dyDescent="0.2">
      <c r="A40">
        <v>88</v>
      </c>
      <c r="B40" t="s">
        <v>169</v>
      </c>
      <c r="C40" s="10">
        <v>44316</v>
      </c>
      <c r="D40" s="2" t="s">
        <v>182</v>
      </c>
      <c r="E40" s="4" t="s">
        <v>183</v>
      </c>
      <c r="F40">
        <v>120</v>
      </c>
      <c r="G40">
        <v>2021</v>
      </c>
      <c r="H40" t="s">
        <v>169</v>
      </c>
      <c r="I40" t="s">
        <v>227</v>
      </c>
      <c r="J40" t="s">
        <v>31</v>
      </c>
      <c r="K40">
        <v>106.8456</v>
      </c>
      <c r="L40">
        <v>0.46550000000000002</v>
      </c>
      <c r="O40">
        <v>31</v>
      </c>
      <c r="P40">
        <v>-28.283999999999999</v>
      </c>
      <c r="Q40" s="10">
        <v>44316</v>
      </c>
      <c r="R40" t="s">
        <v>184</v>
      </c>
      <c r="S40" t="s">
        <v>185</v>
      </c>
      <c r="T40" t="s">
        <v>33</v>
      </c>
      <c r="U40">
        <v>102.01900000000001</v>
      </c>
      <c r="V40">
        <v>0.45810000000000001</v>
      </c>
      <c r="Y40">
        <v>4.75</v>
      </c>
      <c r="Z40">
        <v>-21.628</v>
      </c>
      <c r="AA40">
        <v>120</v>
      </c>
      <c r="AB40">
        <v>2021</v>
      </c>
      <c r="AC40">
        <f t="shared" si="0"/>
        <v>1</v>
      </c>
      <c r="AD40" s="10">
        <v>44315</v>
      </c>
      <c r="AE40">
        <v>4.17</v>
      </c>
      <c r="AF40">
        <v>40.76</v>
      </c>
      <c r="AG40">
        <v>38.4</v>
      </c>
      <c r="AH40">
        <v>16.809999999999999</v>
      </c>
      <c r="AI40">
        <v>0.69</v>
      </c>
      <c r="AJ40">
        <v>36.380000000000003</v>
      </c>
      <c r="AK40">
        <v>1.63</v>
      </c>
      <c r="AL40">
        <v>825.15200000000004</v>
      </c>
      <c r="AM40">
        <v>1542.3454113866501</v>
      </c>
      <c r="AN40">
        <v>-14.488151411500599</v>
      </c>
      <c r="AO40">
        <v>2.73826027472523</v>
      </c>
    </row>
    <row r="41" spans="1:44" x14ac:dyDescent="0.2">
      <c r="A41">
        <v>89</v>
      </c>
      <c r="B41" t="s">
        <v>169</v>
      </c>
      <c r="C41" s="10">
        <v>44428</v>
      </c>
      <c r="D41" s="2" t="s">
        <v>186</v>
      </c>
      <c r="E41" s="4" t="s">
        <v>187</v>
      </c>
      <c r="F41">
        <v>232</v>
      </c>
      <c r="G41">
        <v>2021</v>
      </c>
      <c r="H41" t="s">
        <v>169</v>
      </c>
      <c r="I41" t="s">
        <v>227</v>
      </c>
      <c r="J41" t="s">
        <v>31</v>
      </c>
      <c r="K41">
        <v>108.42829999999999</v>
      </c>
      <c r="L41">
        <v>0.4955</v>
      </c>
      <c r="O41">
        <v>47.4</v>
      </c>
      <c r="P41">
        <v>-28.361999999999998</v>
      </c>
      <c r="Q41" s="10">
        <v>44428</v>
      </c>
      <c r="R41" t="s">
        <v>188</v>
      </c>
      <c r="S41" t="s">
        <v>189</v>
      </c>
      <c r="T41" t="s">
        <v>33</v>
      </c>
      <c r="U41">
        <v>103.65219999999999</v>
      </c>
      <c r="V41">
        <v>0.47560000000000002</v>
      </c>
      <c r="Y41">
        <v>5.43</v>
      </c>
      <c r="Z41">
        <v>-23.407</v>
      </c>
      <c r="AA41">
        <v>232</v>
      </c>
      <c r="AB41">
        <v>2021</v>
      </c>
      <c r="AC41">
        <f t="shared" si="0"/>
        <v>2</v>
      </c>
      <c r="AD41" s="10">
        <v>44426</v>
      </c>
      <c r="AE41">
        <v>3.93</v>
      </c>
      <c r="AF41">
        <v>70.819999999999993</v>
      </c>
      <c r="AG41">
        <v>102.3</v>
      </c>
      <c r="AH41">
        <v>65.77</v>
      </c>
      <c r="AI41">
        <v>2.48</v>
      </c>
      <c r="AJ41">
        <v>487.33</v>
      </c>
      <c r="AK41">
        <v>2.91</v>
      </c>
      <c r="AL41">
        <v>411.70299999999997</v>
      </c>
      <c r="AM41">
        <v>4355.0873066285803</v>
      </c>
      <c r="AN41">
        <v>-11.6969424619168</v>
      </c>
      <c r="AO41">
        <v>3.56694889470376</v>
      </c>
      <c r="AQ41">
        <v>12.430882301904299</v>
      </c>
    </row>
    <row r="42" spans="1:44" x14ac:dyDescent="0.2">
      <c r="A42">
        <v>90</v>
      </c>
      <c r="B42" t="s">
        <v>169</v>
      </c>
      <c r="C42" s="10">
        <v>44463</v>
      </c>
      <c r="D42" s="2" t="s">
        <v>190</v>
      </c>
      <c r="E42" s="4" t="s">
        <v>191</v>
      </c>
      <c r="F42">
        <v>267</v>
      </c>
      <c r="G42">
        <v>2021</v>
      </c>
      <c r="H42" t="s">
        <v>169</v>
      </c>
      <c r="I42" t="s">
        <v>227</v>
      </c>
      <c r="J42" t="s">
        <v>31</v>
      </c>
      <c r="K42">
        <v>108.4774</v>
      </c>
      <c r="L42">
        <v>0.54810000000000003</v>
      </c>
      <c r="O42">
        <v>82.99</v>
      </c>
      <c r="P42">
        <v>-28.478999999999999</v>
      </c>
      <c r="Q42" s="10">
        <v>44463</v>
      </c>
      <c r="R42" t="s">
        <v>192</v>
      </c>
      <c r="S42" t="s">
        <v>193</v>
      </c>
      <c r="T42" t="s">
        <v>33</v>
      </c>
      <c r="U42">
        <v>100.06059999999999</v>
      </c>
      <c r="V42">
        <v>0.45979999999999999</v>
      </c>
      <c r="Y42">
        <v>3.99</v>
      </c>
      <c r="Z42">
        <v>-24.460999999999999</v>
      </c>
      <c r="AA42">
        <v>267</v>
      </c>
      <c r="AB42">
        <v>2021</v>
      </c>
      <c r="AC42" s="15">
        <f t="shared" si="0"/>
        <v>11</v>
      </c>
      <c r="AD42" s="10">
        <v>44452</v>
      </c>
      <c r="AE42">
        <v>4</v>
      </c>
      <c r="AF42">
        <v>64.66</v>
      </c>
      <c r="AG42">
        <v>116</v>
      </c>
      <c r="AH42">
        <v>19.829999999999998</v>
      </c>
      <c r="AI42">
        <v>2.98</v>
      </c>
      <c r="AJ42">
        <v>569.57000000000005</v>
      </c>
      <c r="AK42">
        <v>2.89</v>
      </c>
      <c r="AL42">
        <v>274.66199999999998</v>
      </c>
      <c r="AM42">
        <v>7257.5263215003797</v>
      </c>
      <c r="AN42">
        <v>-12.380332807491</v>
      </c>
      <c r="AO42">
        <v>4.6873669737337602</v>
      </c>
      <c r="AQ42">
        <v>47.796870559765601</v>
      </c>
    </row>
    <row r="43" spans="1:44" x14ac:dyDescent="0.2">
      <c r="A43">
        <v>91</v>
      </c>
      <c r="B43" t="s">
        <v>169</v>
      </c>
      <c r="C43" s="10">
        <v>44466</v>
      </c>
      <c r="D43" s="2" t="s">
        <v>194</v>
      </c>
      <c r="E43" s="4" t="s">
        <v>195</v>
      </c>
      <c r="F43">
        <v>270</v>
      </c>
      <c r="G43">
        <v>2021</v>
      </c>
      <c r="H43" t="s">
        <v>169</v>
      </c>
      <c r="I43" t="s">
        <v>227</v>
      </c>
      <c r="J43" t="s">
        <v>31</v>
      </c>
      <c r="K43">
        <v>106.4011</v>
      </c>
      <c r="L43">
        <v>0.51529999999999998</v>
      </c>
      <c r="O43">
        <v>88.65</v>
      </c>
      <c r="P43">
        <v>-28.216000000000001</v>
      </c>
      <c r="Q43" s="10">
        <v>44466</v>
      </c>
      <c r="R43" t="s">
        <v>196</v>
      </c>
      <c r="S43" t="s">
        <v>197</v>
      </c>
      <c r="T43" t="s">
        <v>33</v>
      </c>
      <c r="U43">
        <v>100.29689999999999</v>
      </c>
      <c r="V43">
        <v>0.46110000000000001</v>
      </c>
      <c r="Y43">
        <v>4.66</v>
      </c>
      <c r="Z43">
        <v>-24.311</v>
      </c>
      <c r="AA43">
        <v>270</v>
      </c>
      <c r="AB43">
        <v>2021</v>
      </c>
      <c r="AC43">
        <f t="shared" si="0"/>
        <v>0</v>
      </c>
      <c r="AD43" s="10">
        <v>44466</v>
      </c>
      <c r="AG43">
        <v>99.4</v>
      </c>
    </row>
    <row r="44" spans="1:44" x14ac:dyDescent="0.2">
      <c r="A44">
        <v>92</v>
      </c>
      <c r="B44" t="s">
        <v>169</v>
      </c>
      <c r="C44" s="10">
        <v>44495</v>
      </c>
      <c r="D44" s="2" t="s">
        <v>198</v>
      </c>
      <c r="E44" s="4" t="s">
        <v>199</v>
      </c>
      <c r="F44">
        <v>299</v>
      </c>
      <c r="G44">
        <v>2021</v>
      </c>
      <c r="H44" t="s">
        <v>169</v>
      </c>
      <c r="I44" t="s">
        <v>227</v>
      </c>
      <c r="J44" t="s">
        <v>31</v>
      </c>
      <c r="K44">
        <v>107.4162</v>
      </c>
      <c r="L44">
        <v>0.49509999999999998</v>
      </c>
      <c r="O44">
        <v>87.72</v>
      </c>
      <c r="P44">
        <v>-28.45</v>
      </c>
      <c r="Q44" s="10">
        <v>44495</v>
      </c>
      <c r="R44" t="s">
        <v>200</v>
      </c>
      <c r="S44" t="s">
        <v>201</v>
      </c>
      <c r="T44" t="s">
        <v>33</v>
      </c>
      <c r="U44">
        <v>114.5804</v>
      </c>
      <c r="V44">
        <v>0.50480000000000003</v>
      </c>
      <c r="Y44">
        <v>3.75</v>
      </c>
      <c r="Z44">
        <v>-22.576000000000001</v>
      </c>
      <c r="AA44">
        <v>299</v>
      </c>
      <c r="AB44">
        <v>2021</v>
      </c>
      <c r="AC44">
        <f t="shared" si="0"/>
        <v>1</v>
      </c>
      <c r="AD44" s="10">
        <v>44494</v>
      </c>
      <c r="AE44">
        <v>4.1100000000000003</v>
      </c>
      <c r="AF44">
        <v>51.43</v>
      </c>
      <c r="AG44">
        <v>83.7</v>
      </c>
      <c r="AH44">
        <v>32.43</v>
      </c>
      <c r="AI44">
        <v>2.5499999999999998</v>
      </c>
      <c r="AJ44">
        <v>989.04</v>
      </c>
      <c r="AK44">
        <v>4.5999999999999996</v>
      </c>
      <c r="AL44">
        <v>528.85899999999901</v>
      </c>
      <c r="AM44">
        <v>3709.0214246282999</v>
      </c>
      <c r="AN44">
        <v>-12.638766138041801</v>
      </c>
      <c r="AO44">
        <v>2.9165724512884799</v>
      </c>
      <c r="AQ44">
        <v>4.3306272674535098</v>
      </c>
    </row>
    <row r="45" spans="1:44" x14ac:dyDescent="0.2">
      <c r="A45">
        <v>93</v>
      </c>
      <c r="B45" t="s">
        <v>169</v>
      </c>
      <c r="C45" s="10">
        <v>44684</v>
      </c>
      <c r="D45" s="2" t="s">
        <v>202</v>
      </c>
      <c r="E45" s="4" t="s">
        <v>203</v>
      </c>
      <c r="F45">
        <v>123</v>
      </c>
      <c r="G45">
        <v>2022</v>
      </c>
      <c r="H45" t="s">
        <v>169</v>
      </c>
      <c r="I45" t="s">
        <v>227</v>
      </c>
      <c r="J45" t="s">
        <v>31</v>
      </c>
      <c r="K45">
        <v>106.92870000000001</v>
      </c>
      <c r="L45">
        <v>0.5071</v>
      </c>
      <c r="O45">
        <v>43.6</v>
      </c>
      <c r="P45">
        <v>-28.172999999999998</v>
      </c>
      <c r="Q45" s="10">
        <v>44684</v>
      </c>
      <c r="R45" t="s">
        <v>204</v>
      </c>
      <c r="S45" t="s">
        <v>205</v>
      </c>
      <c r="T45" t="s">
        <v>33</v>
      </c>
      <c r="U45">
        <v>101.5382</v>
      </c>
      <c r="V45">
        <v>0.48380000000000001</v>
      </c>
      <c r="Y45">
        <v>3.17</v>
      </c>
      <c r="Z45">
        <v>-22.673999999999999</v>
      </c>
      <c r="AA45">
        <v>123</v>
      </c>
      <c r="AB45">
        <v>2022</v>
      </c>
      <c r="AC45">
        <f t="shared" si="0"/>
        <v>0</v>
      </c>
      <c r="AD45" s="10">
        <v>44684</v>
      </c>
      <c r="AE45">
        <v>4.38</v>
      </c>
      <c r="AF45">
        <v>42.6</v>
      </c>
      <c r="AG45">
        <v>50.1</v>
      </c>
      <c r="AH45">
        <v>163.16999999999999</v>
      </c>
      <c r="AI45">
        <v>2.76</v>
      </c>
      <c r="AJ45">
        <v>1617.5</v>
      </c>
      <c r="AK45">
        <v>7.75</v>
      </c>
      <c r="AL45">
        <v>808.69399999999996</v>
      </c>
      <c r="AM45">
        <v>3100</v>
      </c>
      <c r="AN45">
        <v>-14.9531910803413</v>
      </c>
      <c r="AO45">
        <v>3.7318070443625402</v>
      </c>
      <c r="AP45">
        <v>4094.0946082125201</v>
      </c>
      <c r="AQ45">
        <v>3.43450611559568</v>
      </c>
      <c r="AR45">
        <v>3.73139579675638</v>
      </c>
    </row>
    <row r="46" spans="1:44" x14ac:dyDescent="0.2">
      <c r="A46">
        <v>94</v>
      </c>
      <c r="B46" t="s">
        <v>169</v>
      </c>
      <c r="C46" s="10">
        <v>44796</v>
      </c>
      <c r="D46" s="2" t="s">
        <v>206</v>
      </c>
      <c r="E46" s="4" t="s">
        <v>207</v>
      </c>
      <c r="F46">
        <v>235</v>
      </c>
      <c r="G46">
        <v>2022</v>
      </c>
      <c r="H46" t="s">
        <v>169</v>
      </c>
      <c r="I46" t="s">
        <v>227</v>
      </c>
      <c r="J46" t="s">
        <v>31</v>
      </c>
      <c r="K46">
        <v>107.2076</v>
      </c>
      <c r="L46">
        <v>0.49</v>
      </c>
      <c r="O46">
        <v>70.2</v>
      </c>
      <c r="P46">
        <v>-28.103000000000002</v>
      </c>
      <c r="Q46" s="10">
        <v>44796</v>
      </c>
      <c r="R46" t="s">
        <v>208</v>
      </c>
      <c r="S46" t="s">
        <v>209</v>
      </c>
      <c r="T46" t="s">
        <v>33</v>
      </c>
      <c r="U46">
        <v>101.6998</v>
      </c>
      <c r="V46">
        <v>0.44309999999999999</v>
      </c>
      <c r="Y46">
        <v>4.32</v>
      </c>
      <c r="Z46">
        <v>-23.893999999999998</v>
      </c>
      <c r="AA46">
        <v>235</v>
      </c>
      <c r="AB46">
        <v>2022</v>
      </c>
      <c r="AC46" s="15">
        <f t="shared" si="0"/>
        <v>19</v>
      </c>
      <c r="AD46" s="10">
        <v>44777</v>
      </c>
    </row>
    <row r="47" spans="1:44" x14ac:dyDescent="0.2">
      <c r="A47">
        <v>95</v>
      </c>
      <c r="B47" t="s">
        <v>169</v>
      </c>
      <c r="C47" s="10">
        <v>44859</v>
      </c>
      <c r="D47" s="2" t="s">
        <v>210</v>
      </c>
      <c r="E47" s="4" t="s">
        <v>211</v>
      </c>
      <c r="F47">
        <v>298</v>
      </c>
      <c r="G47">
        <v>2022</v>
      </c>
      <c r="H47" t="s">
        <v>169</v>
      </c>
      <c r="I47" t="s">
        <v>227</v>
      </c>
      <c r="J47" t="s">
        <v>31</v>
      </c>
      <c r="K47">
        <v>106.5556</v>
      </c>
      <c r="L47">
        <v>0.4869</v>
      </c>
      <c r="O47">
        <v>72.599999999999994</v>
      </c>
      <c r="P47">
        <v>-28.119</v>
      </c>
      <c r="Q47" s="10">
        <v>44859</v>
      </c>
      <c r="R47" t="s">
        <v>212</v>
      </c>
      <c r="S47" t="s">
        <v>213</v>
      </c>
      <c r="T47" t="s">
        <v>33</v>
      </c>
      <c r="U47">
        <v>99.835400000000007</v>
      </c>
      <c r="V47">
        <v>0.4451</v>
      </c>
      <c r="W47">
        <v>13</v>
      </c>
      <c r="X47">
        <v>36</v>
      </c>
      <c r="Y47">
        <v>3.53</v>
      </c>
      <c r="Z47">
        <v>-23.927</v>
      </c>
      <c r="AA47">
        <v>298</v>
      </c>
      <c r="AB47">
        <v>2022</v>
      </c>
      <c r="AC47" s="15">
        <f t="shared" si="0"/>
        <v>-365</v>
      </c>
      <c r="AD47" s="10">
        <v>45224</v>
      </c>
      <c r="AE47">
        <v>4.3099999999999996</v>
      </c>
      <c r="AF47">
        <v>50.27</v>
      </c>
      <c r="AG47">
        <v>63.4</v>
      </c>
      <c r="AH47">
        <v>16.04</v>
      </c>
      <c r="AI47">
        <v>2.2400000000000002</v>
      </c>
      <c r="AJ47">
        <v>1311.6</v>
      </c>
      <c r="AK47">
        <v>3.03</v>
      </c>
      <c r="AL47">
        <v>736.09400000000005</v>
      </c>
      <c r="AN47">
        <v>-12.045096144206401</v>
      </c>
      <c r="AO47">
        <v>6.1300758370817503</v>
      </c>
      <c r="AP47">
        <v>6704.5629355547098</v>
      </c>
      <c r="AQ47">
        <v>2.96809170483577</v>
      </c>
      <c r="AR47">
        <v>6.1294006741999301</v>
      </c>
    </row>
  </sheetData>
  <conditionalFormatting sqref="D50:D1048576 D1:D47">
    <cfRule type="duplicateValues" dxfId="1" priority="39"/>
  </conditionalFormatting>
  <conditionalFormatting sqref="R26:R1048576 R1:R24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14C_DC_Data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Audrey Campeau</cp:lastModifiedBy>
  <dcterms:created xsi:type="dcterms:W3CDTF">2024-04-11T14:44:50Z</dcterms:created>
  <dcterms:modified xsi:type="dcterms:W3CDTF">2026-10-29T21:16:46Z</dcterms:modified>
</cp:coreProperties>
</file>