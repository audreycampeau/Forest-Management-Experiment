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CO2Calculation/"/>
    </mc:Choice>
  </mc:AlternateContent>
  <xr:revisionPtr revIDLastSave="0" documentId="13_ncr:1_{652184BB-87A9-9045-BE56-5154EEDEF6AC}" xr6:coauthVersionLast="47" xr6:coauthVersionMax="47" xr10:uidLastSave="{00000000-0000-0000-0000-000000000000}"/>
  <bookViews>
    <workbookView xWindow="14760" yWindow="740" windowWidth="15480" windowHeight="18900" activeTab="6" xr2:uid="{00000000-000D-0000-FFFF-FFFF00000000}"/>
  </bookViews>
  <sheets>
    <sheet name="Key" sheetId="5" r:id="rId1"/>
    <sheet name="Volumes" sheetId="3" r:id="rId2"/>
    <sheet name="DIC" sheetId="1" r:id="rId3"/>
    <sheet name="C-speciation" sheetId="4" r:id="rId4"/>
    <sheet name="CH4" sheetId="6" r:id="rId5"/>
    <sheet name="Data summary" sheetId="7" r:id="rId6"/>
    <sheet name="Sheet2" sheetId="8" r:id="rId7"/>
  </sheets>
  <definedNames>
    <definedName name="_xlnm._FilterDatabase" localSheetId="6" hidden="1">Sheet2!$A$1:$F$230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K70" i="1" s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K113" i="1" s="1"/>
  <c r="E114" i="1"/>
  <c r="E115" i="1"/>
  <c r="E116" i="1"/>
  <c r="E117" i="1"/>
  <c r="E118" i="1"/>
  <c r="E119" i="1"/>
  <c r="E120" i="1"/>
  <c r="E121" i="1"/>
  <c r="E122" i="1"/>
  <c r="E123" i="1"/>
  <c r="E124" i="1"/>
  <c r="K124" i="1" s="1"/>
  <c r="E125" i="1"/>
  <c r="E126" i="1"/>
  <c r="E127" i="1"/>
  <c r="E128" i="1"/>
  <c r="K128" i="1" s="1"/>
  <c r="E129" i="1"/>
  <c r="E130" i="1"/>
  <c r="E131" i="1"/>
  <c r="E132" i="1"/>
  <c r="E133" i="1"/>
  <c r="E134" i="1"/>
  <c r="E135" i="1"/>
  <c r="E136" i="1"/>
  <c r="E137" i="1"/>
  <c r="E138" i="1"/>
  <c r="E139" i="1"/>
  <c r="E140" i="1"/>
  <c r="K140" i="1" s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K155" i="1" s="1"/>
  <c r="E156" i="1"/>
  <c r="E157" i="1"/>
  <c r="E158" i="1"/>
  <c r="K158" i="1" s="1"/>
  <c r="E159" i="1"/>
  <c r="E160" i="1"/>
  <c r="E161" i="1"/>
  <c r="E162" i="1"/>
  <c r="E163" i="1"/>
  <c r="E164" i="1"/>
  <c r="E165" i="1"/>
  <c r="E166" i="1"/>
  <c r="E167" i="1"/>
  <c r="E168" i="1"/>
  <c r="K168" i="1" s="1"/>
  <c r="E169" i="1"/>
  <c r="E170" i="1"/>
  <c r="K170" i="1" s="1"/>
  <c r="E171" i="1"/>
  <c r="E172" i="1"/>
  <c r="E173" i="1"/>
  <c r="E174" i="1"/>
  <c r="E175" i="1"/>
  <c r="E176" i="1"/>
  <c r="E177" i="1"/>
  <c r="E178" i="1"/>
  <c r="E179" i="1"/>
  <c r="K179" i="1" s="1"/>
  <c r="E180" i="1"/>
  <c r="E181" i="1"/>
  <c r="E182" i="1"/>
  <c r="K182" i="1" s="1"/>
  <c r="E183" i="1"/>
  <c r="E184" i="1"/>
  <c r="E185" i="1"/>
  <c r="E186" i="1"/>
  <c r="E187" i="1"/>
  <c r="E188" i="1"/>
  <c r="E189" i="1"/>
  <c r="E190" i="1"/>
  <c r="E191" i="1"/>
  <c r="E192" i="1"/>
  <c r="E193" i="1"/>
  <c r="E194" i="1"/>
  <c r="K194" i="1" s="1"/>
  <c r="E195" i="1"/>
  <c r="E196" i="1"/>
  <c r="E197" i="1"/>
  <c r="E198" i="1"/>
  <c r="E199" i="1"/>
  <c r="E200" i="1"/>
  <c r="E201" i="1"/>
  <c r="E202" i="1"/>
  <c r="E203" i="1"/>
  <c r="K203" i="1" s="1"/>
  <c r="E204" i="1"/>
  <c r="E205" i="1"/>
  <c r="E206" i="1"/>
  <c r="K206" i="1" s="1"/>
  <c r="E207" i="1"/>
  <c r="K207" i="1" s="1"/>
  <c r="E208" i="1"/>
  <c r="E209" i="1"/>
  <c r="E210" i="1"/>
  <c r="E211" i="1"/>
  <c r="E212" i="1"/>
  <c r="E213" i="1"/>
  <c r="E214" i="1"/>
  <c r="E215" i="1"/>
  <c r="E216" i="1"/>
  <c r="E217" i="1"/>
  <c r="K217" i="1" s="1"/>
  <c r="E218" i="1"/>
  <c r="K218" i="1" s="1"/>
  <c r="E219" i="1"/>
  <c r="E220" i="1"/>
  <c r="E221" i="1"/>
  <c r="E222" i="1"/>
  <c r="E223" i="1"/>
  <c r="E224" i="1"/>
  <c r="E225" i="1"/>
  <c r="E226" i="1"/>
  <c r="E227" i="1"/>
  <c r="E228" i="1"/>
  <c r="E229" i="1"/>
  <c r="K229" i="1" s="1"/>
  <c r="E230" i="1"/>
  <c r="K230" i="1" s="1"/>
  <c r="E231" i="1"/>
  <c r="E232" i="1"/>
  <c r="K232" i="1" s="1"/>
  <c r="E233" i="1"/>
  <c r="K233" i="1" s="1"/>
  <c r="E234" i="1"/>
  <c r="E235" i="1"/>
  <c r="C206" i="1"/>
  <c r="G206" i="1"/>
  <c r="H206" i="1"/>
  <c r="I206" i="1"/>
  <c r="J206" i="1"/>
  <c r="C207" i="1"/>
  <c r="G207" i="1"/>
  <c r="H207" i="1"/>
  <c r="I207" i="1"/>
  <c r="J207" i="1"/>
  <c r="C208" i="1"/>
  <c r="G208" i="1"/>
  <c r="H208" i="1"/>
  <c r="I208" i="1"/>
  <c r="J208" i="1"/>
  <c r="K208" i="1"/>
  <c r="C209" i="1"/>
  <c r="G209" i="1"/>
  <c r="H209" i="1"/>
  <c r="I209" i="1"/>
  <c r="J209" i="1"/>
  <c r="C210" i="1"/>
  <c r="G210" i="1"/>
  <c r="H210" i="1"/>
  <c r="I210" i="1"/>
  <c r="J210" i="1"/>
  <c r="C211" i="1"/>
  <c r="K211" i="1" s="1"/>
  <c r="G211" i="1"/>
  <c r="H211" i="1"/>
  <c r="I211" i="1"/>
  <c r="J211" i="1"/>
  <c r="C212" i="1"/>
  <c r="K212" i="1" s="1"/>
  <c r="G212" i="1"/>
  <c r="H212" i="1"/>
  <c r="I212" i="1"/>
  <c r="J212" i="1"/>
  <c r="C213" i="1"/>
  <c r="K213" i="1" s="1"/>
  <c r="G213" i="1"/>
  <c r="H213" i="1"/>
  <c r="I213" i="1"/>
  <c r="J213" i="1"/>
  <c r="C214" i="1"/>
  <c r="G214" i="1"/>
  <c r="H214" i="1"/>
  <c r="I214" i="1"/>
  <c r="J214" i="1"/>
  <c r="C215" i="1"/>
  <c r="G215" i="1"/>
  <c r="H215" i="1"/>
  <c r="I215" i="1"/>
  <c r="J215" i="1"/>
  <c r="C216" i="1"/>
  <c r="G216" i="1"/>
  <c r="H216" i="1"/>
  <c r="I216" i="1"/>
  <c r="J216" i="1"/>
  <c r="C217" i="1"/>
  <c r="G217" i="1"/>
  <c r="H217" i="1"/>
  <c r="I217" i="1"/>
  <c r="J217" i="1"/>
  <c r="L217" i="1" s="1"/>
  <c r="C218" i="1"/>
  <c r="G218" i="1"/>
  <c r="H218" i="1"/>
  <c r="I218" i="1"/>
  <c r="J218" i="1"/>
  <c r="C219" i="1"/>
  <c r="G219" i="1"/>
  <c r="H219" i="1"/>
  <c r="I219" i="1"/>
  <c r="J219" i="1"/>
  <c r="K219" i="1"/>
  <c r="C220" i="1"/>
  <c r="G220" i="1"/>
  <c r="H220" i="1"/>
  <c r="I220" i="1"/>
  <c r="J220" i="1"/>
  <c r="K220" i="1"/>
  <c r="C221" i="1"/>
  <c r="G221" i="1"/>
  <c r="H221" i="1"/>
  <c r="I221" i="1"/>
  <c r="J221" i="1"/>
  <c r="K221" i="1"/>
  <c r="C222" i="1"/>
  <c r="K222" i="1"/>
  <c r="G222" i="1"/>
  <c r="H222" i="1"/>
  <c r="I222" i="1"/>
  <c r="J222" i="1"/>
  <c r="C223" i="1"/>
  <c r="K223" i="1" s="1"/>
  <c r="G223" i="1"/>
  <c r="H223" i="1"/>
  <c r="I223" i="1"/>
  <c r="J223" i="1"/>
  <c r="C224" i="1"/>
  <c r="G224" i="1"/>
  <c r="H224" i="1"/>
  <c r="I224" i="1"/>
  <c r="J224" i="1"/>
  <c r="C225" i="1"/>
  <c r="K225" i="1" s="1"/>
  <c r="G225" i="1"/>
  <c r="H225" i="1"/>
  <c r="I225" i="1"/>
  <c r="J225" i="1"/>
  <c r="C226" i="1"/>
  <c r="G226" i="1"/>
  <c r="H226" i="1"/>
  <c r="I226" i="1"/>
  <c r="J226" i="1"/>
  <c r="C227" i="1"/>
  <c r="K227" i="1" s="1"/>
  <c r="G227" i="1"/>
  <c r="H227" i="1"/>
  <c r="I227" i="1"/>
  <c r="J227" i="1"/>
  <c r="C228" i="1"/>
  <c r="G228" i="1"/>
  <c r="H228" i="1"/>
  <c r="I228" i="1"/>
  <c r="J228" i="1"/>
  <c r="C229" i="1"/>
  <c r="G229" i="1"/>
  <c r="H229" i="1"/>
  <c r="I229" i="1"/>
  <c r="J229" i="1"/>
  <c r="C230" i="1"/>
  <c r="G230" i="1"/>
  <c r="H230" i="1"/>
  <c r="I230" i="1"/>
  <c r="J230" i="1"/>
  <c r="C231" i="1"/>
  <c r="G231" i="1"/>
  <c r="H231" i="1"/>
  <c r="I231" i="1"/>
  <c r="J231" i="1"/>
  <c r="K231" i="1"/>
  <c r="C232" i="1"/>
  <c r="G232" i="1"/>
  <c r="H232" i="1"/>
  <c r="I232" i="1"/>
  <c r="J232" i="1"/>
  <c r="C233" i="1"/>
  <c r="G233" i="1"/>
  <c r="H233" i="1"/>
  <c r="I233" i="1"/>
  <c r="J233" i="1"/>
  <c r="C234" i="1"/>
  <c r="K234" i="1"/>
  <c r="G234" i="1"/>
  <c r="H234" i="1"/>
  <c r="I234" i="1"/>
  <c r="J234" i="1"/>
  <c r="C235" i="1"/>
  <c r="G235" i="1"/>
  <c r="H235" i="1"/>
  <c r="I235" i="1"/>
  <c r="J235" i="1"/>
  <c r="C153" i="1"/>
  <c r="G153" i="1"/>
  <c r="H153" i="1"/>
  <c r="I153" i="1"/>
  <c r="J153" i="1"/>
  <c r="K153" i="1"/>
  <c r="C154" i="1"/>
  <c r="G154" i="1"/>
  <c r="H154" i="1"/>
  <c r="I154" i="1"/>
  <c r="J154" i="1"/>
  <c r="K154" i="1"/>
  <c r="C155" i="1"/>
  <c r="G155" i="1"/>
  <c r="H155" i="1"/>
  <c r="I155" i="1"/>
  <c r="J155" i="1"/>
  <c r="C156" i="1"/>
  <c r="G156" i="1"/>
  <c r="H156" i="1"/>
  <c r="I156" i="1"/>
  <c r="J156" i="1"/>
  <c r="K156" i="1"/>
  <c r="C157" i="1"/>
  <c r="K157" i="1" s="1"/>
  <c r="G157" i="1"/>
  <c r="H157" i="1"/>
  <c r="I157" i="1"/>
  <c r="J157" i="1"/>
  <c r="C158" i="1"/>
  <c r="G158" i="1"/>
  <c r="H158" i="1"/>
  <c r="I158" i="1"/>
  <c r="J158" i="1"/>
  <c r="C159" i="1"/>
  <c r="K159" i="1" s="1"/>
  <c r="G159" i="1"/>
  <c r="H159" i="1"/>
  <c r="I159" i="1"/>
  <c r="J159" i="1"/>
  <c r="C160" i="1"/>
  <c r="G160" i="1"/>
  <c r="H160" i="1"/>
  <c r="I160" i="1"/>
  <c r="J160" i="1"/>
  <c r="C161" i="1"/>
  <c r="K161" i="1" s="1"/>
  <c r="G161" i="1"/>
  <c r="H161" i="1"/>
  <c r="L161" i="1" s="1"/>
  <c r="M161" i="1" s="1"/>
  <c r="I161" i="1"/>
  <c r="J161" i="1"/>
  <c r="C162" i="1"/>
  <c r="K162" i="1" s="1"/>
  <c r="G162" i="1"/>
  <c r="H162" i="1"/>
  <c r="I162" i="1"/>
  <c r="J162" i="1"/>
  <c r="C163" i="1"/>
  <c r="K163" i="1"/>
  <c r="G163" i="1"/>
  <c r="H163" i="1"/>
  <c r="I163" i="1"/>
  <c r="J163" i="1"/>
  <c r="C164" i="1"/>
  <c r="G164" i="1"/>
  <c r="H164" i="1"/>
  <c r="I164" i="1"/>
  <c r="J164" i="1"/>
  <c r="C165" i="1"/>
  <c r="G165" i="1"/>
  <c r="H165" i="1"/>
  <c r="L165" i="1" s="1"/>
  <c r="M165" i="1" s="1"/>
  <c r="I165" i="1"/>
  <c r="J165" i="1"/>
  <c r="K165" i="1"/>
  <c r="C166" i="1"/>
  <c r="G166" i="1"/>
  <c r="H166" i="1"/>
  <c r="I166" i="1"/>
  <c r="J166" i="1"/>
  <c r="K166" i="1"/>
  <c r="C167" i="1"/>
  <c r="G167" i="1"/>
  <c r="H167" i="1"/>
  <c r="I167" i="1"/>
  <c r="J167" i="1"/>
  <c r="K167" i="1"/>
  <c r="C168" i="1"/>
  <c r="G168" i="1"/>
  <c r="H168" i="1"/>
  <c r="I168" i="1"/>
  <c r="J168" i="1"/>
  <c r="C169" i="1"/>
  <c r="G169" i="1"/>
  <c r="H169" i="1"/>
  <c r="I169" i="1"/>
  <c r="J169" i="1"/>
  <c r="C170" i="1"/>
  <c r="G170" i="1"/>
  <c r="H170" i="1"/>
  <c r="I170" i="1"/>
  <c r="J170" i="1"/>
  <c r="C171" i="1"/>
  <c r="G171" i="1"/>
  <c r="H171" i="1"/>
  <c r="I171" i="1"/>
  <c r="J171" i="1"/>
  <c r="C172" i="1"/>
  <c r="K172" i="1" s="1"/>
  <c r="G172" i="1"/>
  <c r="H172" i="1"/>
  <c r="I172" i="1"/>
  <c r="J172" i="1"/>
  <c r="C173" i="1"/>
  <c r="K173" i="1" s="1"/>
  <c r="G173" i="1"/>
  <c r="H173" i="1"/>
  <c r="I173" i="1"/>
  <c r="J173" i="1"/>
  <c r="C174" i="1"/>
  <c r="K174" i="1" s="1"/>
  <c r="G174" i="1"/>
  <c r="H174" i="1"/>
  <c r="I174" i="1"/>
  <c r="J174" i="1"/>
  <c r="C175" i="1"/>
  <c r="K175" i="1"/>
  <c r="G175" i="1"/>
  <c r="H175" i="1"/>
  <c r="I175" i="1"/>
  <c r="J175" i="1"/>
  <c r="C176" i="1"/>
  <c r="G176" i="1"/>
  <c r="H176" i="1"/>
  <c r="I176" i="1"/>
  <c r="J176" i="1"/>
  <c r="C177" i="1"/>
  <c r="G177" i="1"/>
  <c r="H177" i="1"/>
  <c r="I177" i="1"/>
  <c r="J177" i="1"/>
  <c r="K177" i="1"/>
  <c r="C178" i="1"/>
  <c r="G178" i="1"/>
  <c r="H178" i="1"/>
  <c r="I178" i="1"/>
  <c r="J178" i="1"/>
  <c r="K178" i="1"/>
  <c r="C179" i="1"/>
  <c r="G179" i="1"/>
  <c r="H179" i="1"/>
  <c r="I179" i="1"/>
  <c r="J179" i="1"/>
  <c r="C180" i="1"/>
  <c r="G180" i="1"/>
  <c r="H180" i="1"/>
  <c r="I180" i="1"/>
  <c r="J180" i="1"/>
  <c r="K180" i="1"/>
  <c r="C181" i="1"/>
  <c r="K181" i="1" s="1"/>
  <c r="G181" i="1"/>
  <c r="H181" i="1"/>
  <c r="I181" i="1"/>
  <c r="J181" i="1"/>
  <c r="C182" i="1"/>
  <c r="G182" i="1"/>
  <c r="H182" i="1"/>
  <c r="I182" i="1"/>
  <c r="J182" i="1"/>
  <c r="C183" i="1"/>
  <c r="K183" i="1" s="1"/>
  <c r="G183" i="1"/>
  <c r="H183" i="1"/>
  <c r="I183" i="1"/>
  <c r="J183" i="1"/>
  <c r="C184" i="1"/>
  <c r="G184" i="1"/>
  <c r="H184" i="1"/>
  <c r="I184" i="1"/>
  <c r="J184" i="1"/>
  <c r="C185" i="1"/>
  <c r="K185" i="1" s="1"/>
  <c r="G185" i="1"/>
  <c r="H185" i="1"/>
  <c r="I185" i="1"/>
  <c r="J185" i="1"/>
  <c r="C186" i="1"/>
  <c r="K186" i="1" s="1"/>
  <c r="G186" i="1"/>
  <c r="H186" i="1"/>
  <c r="I186" i="1"/>
  <c r="J186" i="1"/>
  <c r="C187" i="1"/>
  <c r="K187" i="1"/>
  <c r="G187" i="1"/>
  <c r="H187" i="1"/>
  <c r="I187" i="1"/>
  <c r="J187" i="1"/>
  <c r="C188" i="1"/>
  <c r="G188" i="1"/>
  <c r="H188" i="1"/>
  <c r="L188" i="1" s="1"/>
  <c r="M188" i="1" s="1"/>
  <c r="I188" i="1"/>
  <c r="J188" i="1"/>
  <c r="C189" i="1"/>
  <c r="G189" i="1"/>
  <c r="H189" i="1"/>
  <c r="I189" i="1"/>
  <c r="J189" i="1"/>
  <c r="K189" i="1"/>
  <c r="C190" i="1"/>
  <c r="G190" i="1"/>
  <c r="H190" i="1"/>
  <c r="I190" i="1"/>
  <c r="J190" i="1"/>
  <c r="K190" i="1"/>
  <c r="C191" i="1"/>
  <c r="G191" i="1"/>
  <c r="H191" i="1"/>
  <c r="I191" i="1"/>
  <c r="J191" i="1"/>
  <c r="K191" i="1"/>
  <c r="C192" i="1"/>
  <c r="G192" i="1"/>
  <c r="H192" i="1"/>
  <c r="I192" i="1"/>
  <c r="J192" i="1"/>
  <c r="K192" i="1"/>
  <c r="C193" i="1"/>
  <c r="G193" i="1"/>
  <c r="H193" i="1"/>
  <c r="I193" i="1"/>
  <c r="J193" i="1"/>
  <c r="C194" i="1"/>
  <c r="G194" i="1"/>
  <c r="H194" i="1"/>
  <c r="I194" i="1"/>
  <c r="J194" i="1"/>
  <c r="C195" i="1"/>
  <c r="G195" i="1"/>
  <c r="H195" i="1"/>
  <c r="I195" i="1"/>
  <c r="J195" i="1"/>
  <c r="C196" i="1"/>
  <c r="K196" i="1" s="1"/>
  <c r="G196" i="1"/>
  <c r="H196" i="1"/>
  <c r="I196" i="1"/>
  <c r="J196" i="1"/>
  <c r="C197" i="1"/>
  <c r="K197" i="1" s="1"/>
  <c r="G197" i="1"/>
  <c r="H197" i="1"/>
  <c r="I197" i="1"/>
  <c r="J197" i="1"/>
  <c r="C198" i="1"/>
  <c r="K198" i="1" s="1"/>
  <c r="G198" i="1"/>
  <c r="L198" i="1" s="1"/>
  <c r="M198" i="1" s="1"/>
  <c r="H198" i="1"/>
  <c r="I198" i="1"/>
  <c r="J198" i="1"/>
  <c r="C199" i="1"/>
  <c r="K199" i="1"/>
  <c r="G199" i="1"/>
  <c r="H199" i="1"/>
  <c r="I199" i="1"/>
  <c r="J199" i="1"/>
  <c r="C200" i="1"/>
  <c r="H200" i="1"/>
  <c r="L200" i="1" s="1"/>
  <c r="M200" i="1" s="1"/>
  <c r="I200" i="1"/>
  <c r="J200" i="1"/>
  <c r="C201" i="1"/>
  <c r="G201" i="1"/>
  <c r="H201" i="1"/>
  <c r="I201" i="1"/>
  <c r="J201" i="1"/>
  <c r="K201" i="1"/>
  <c r="C202" i="1"/>
  <c r="G202" i="1"/>
  <c r="H202" i="1"/>
  <c r="I202" i="1"/>
  <c r="J202" i="1"/>
  <c r="K202" i="1"/>
  <c r="C203" i="1"/>
  <c r="G203" i="1"/>
  <c r="H203" i="1"/>
  <c r="I203" i="1"/>
  <c r="J203" i="1"/>
  <c r="C204" i="1"/>
  <c r="G204" i="1"/>
  <c r="H204" i="1"/>
  <c r="I204" i="1"/>
  <c r="J204" i="1"/>
  <c r="K204" i="1"/>
  <c r="C205" i="1"/>
  <c r="K205" i="1" s="1"/>
  <c r="G205" i="1"/>
  <c r="H205" i="1"/>
  <c r="I205" i="1"/>
  <c r="J205" i="1"/>
  <c r="C112" i="1"/>
  <c r="G112" i="1"/>
  <c r="H112" i="1"/>
  <c r="I112" i="1"/>
  <c r="J112" i="1"/>
  <c r="L112" i="1" s="1"/>
  <c r="K112" i="1"/>
  <c r="C113" i="1"/>
  <c r="G113" i="1"/>
  <c r="H113" i="1"/>
  <c r="I113" i="1"/>
  <c r="J113" i="1"/>
  <c r="C114" i="1"/>
  <c r="K114" i="1"/>
  <c r="G114" i="1"/>
  <c r="H114" i="1"/>
  <c r="I114" i="1"/>
  <c r="J114" i="1"/>
  <c r="C115" i="1"/>
  <c r="G115" i="1"/>
  <c r="H115" i="1"/>
  <c r="I115" i="1"/>
  <c r="J115" i="1"/>
  <c r="K115" i="1"/>
  <c r="C116" i="1"/>
  <c r="K116" i="1"/>
  <c r="G116" i="1"/>
  <c r="H116" i="1"/>
  <c r="I116" i="1"/>
  <c r="J116" i="1"/>
  <c r="C117" i="1"/>
  <c r="K117" i="1" s="1"/>
  <c r="G117" i="1"/>
  <c r="H117" i="1"/>
  <c r="I117" i="1"/>
  <c r="J117" i="1"/>
  <c r="C118" i="1"/>
  <c r="G118" i="1"/>
  <c r="H118" i="1"/>
  <c r="I118" i="1"/>
  <c r="J118" i="1"/>
  <c r="C119" i="1"/>
  <c r="K119" i="1" s="1"/>
  <c r="G119" i="1"/>
  <c r="H119" i="1"/>
  <c r="I119" i="1"/>
  <c r="J119" i="1"/>
  <c r="C120" i="1"/>
  <c r="K120" i="1" s="1"/>
  <c r="G120" i="1"/>
  <c r="H120" i="1"/>
  <c r="I120" i="1"/>
  <c r="J120" i="1"/>
  <c r="C121" i="1"/>
  <c r="G121" i="1"/>
  <c r="H121" i="1"/>
  <c r="I121" i="1"/>
  <c r="J121" i="1"/>
  <c r="C122" i="1"/>
  <c r="G122" i="1"/>
  <c r="H122" i="1"/>
  <c r="I122" i="1"/>
  <c r="J122" i="1"/>
  <c r="C123" i="1"/>
  <c r="G123" i="1"/>
  <c r="H123" i="1"/>
  <c r="I123" i="1"/>
  <c r="J123" i="1"/>
  <c r="K123" i="1"/>
  <c r="C124" i="1"/>
  <c r="G124" i="1"/>
  <c r="H124" i="1"/>
  <c r="I124" i="1"/>
  <c r="J124" i="1"/>
  <c r="C125" i="1"/>
  <c r="G125" i="1"/>
  <c r="H125" i="1"/>
  <c r="I125" i="1"/>
  <c r="J125" i="1"/>
  <c r="K125" i="1"/>
  <c r="C126" i="1"/>
  <c r="K126" i="1"/>
  <c r="G126" i="1"/>
  <c r="H126" i="1"/>
  <c r="I126" i="1"/>
  <c r="J126" i="1"/>
  <c r="C127" i="1"/>
  <c r="G127" i="1"/>
  <c r="H127" i="1"/>
  <c r="I127" i="1"/>
  <c r="J127" i="1"/>
  <c r="K127" i="1"/>
  <c r="C128" i="1"/>
  <c r="G128" i="1"/>
  <c r="H128" i="1"/>
  <c r="I128" i="1"/>
  <c r="J128" i="1"/>
  <c r="C129" i="1"/>
  <c r="K129" i="1" s="1"/>
  <c r="G129" i="1"/>
  <c r="H129" i="1"/>
  <c r="I129" i="1"/>
  <c r="J129" i="1"/>
  <c r="C130" i="1"/>
  <c r="K130" i="1" s="1"/>
  <c r="G130" i="1"/>
  <c r="H130" i="1"/>
  <c r="I130" i="1"/>
  <c r="J130" i="1"/>
  <c r="C131" i="1"/>
  <c r="K131" i="1" s="1"/>
  <c r="G131" i="1"/>
  <c r="H131" i="1"/>
  <c r="I131" i="1"/>
  <c r="J131" i="1"/>
  <c r="C132" i="1"/>
  <c r="G132" i="1"/>
  <c r="H132" i="1"/>
  <c r="L132" i="1" s="1"/>
  <c r="M132" i="1" s="1"/>
  <c r="I132" i="1"/>
  <c r="J132" i="1"/>
  <c r="C133" i="1"/>
  <c r="K133" i="1" s="1"/>
  <c r="G133" i="1"/>
  <c r="H133" i="1"/>
  <c r="I133" i="1"/>
  <c r="J133" i="1"/>
  <c r="C134" i="1"/>
  <c r="G134" i="1"/>
  <c r="H134" i="1"/>
  <c r="I134" i="1"/>
  <c r="J134" i="1"/>
  <c r="L134" i="1" s="1"/>
  <c r="C135" i="1"/>
  <c r="G135" i="1"/>
  <c r="H135" i="1"/>
  <c r="I135" i="1"/>
  <c r="J135" i="1"/>
  <c r="K135" i="1"/>
  <c r="C136" i="1"/>
  <c r="G136" i="1"/>
  <c r="H136" i="1"/>
  <c r="I136" i="1"/>
  <c r="J136" i="1"/>
  <c r="K136" i="1"/>
  <c r="C137" i="1"/>
  <c r="G137" i="1"/>
  <c r="H137" i="1"/>
  <c r="I137" i="1"/>
  <c r="J137" i="1"/>
  <c r="K137" i="1"/>
  <c r="C138" i="1"/>
  <c r="K138" i="1"/>
  <c r="G138" i="1"/>
  <c r="H138" i="1"/>
  <c r="I138" i="1"/>
  <c r="J138" i="1"/>
  <c r="L138" i="1" s="1"/>
  <c r="C139" i="1"/>
  <c r="G139" i="1"/>
  <c r="H139" i="1"/>
  <c r="I139" i="1"/>
  <c r="J139" i="1"/>
  <c r="K139" i="1"/>
  <c r="C140" i="1"/>
  <c r="G140" i="1"/>
  <c r="H140" i="1"/>
  <c r="I140" i="1"/>
  <c r="J140" i="1"/>
  <c r="C141" i="1"/>
  <c r="K141" i="1" s="1"/>
  <c r="G141" i="1"/>
  <c r="H141" i="1"/>
  <c r="I141" i="1"/>
  <c r="J141" i="1"/>
  <c r="C142" i="1"/>
  <c r="K142" i="1" s="1"/>
  <c r="G142" i="1"/>
  <c r="H142" i="1"/>
  <c r="I142" i="1"/>
  <c r="J142" i="1"/>
  <c r="C143" i="1"/>
  <c r="G143" i="1"/>
  <c r="H143" i="1"/>
  <c r="I143" i="1"/>
  <c r="J143" i="1"/>
  <c r="C144" i="1"/>
  <c r="K144" i="1" s="1"/>
  <c r="G144" i="1"/>
  <c r="H144" i="1"/>
  <c r="L144" i="1" s="1"/>
  <c r="I144" i="1"/>
  <c r="J144" i="1"/>
  <c r="C145" i="1"/>
  <c r="G145" i="1"/>
  <c r="H145" i="1"/>
  <c r="I145" i="1"/>
  <c r="J145" i="1"/>
  <c r="C146" i="1"/>
  <c r="G146" i="1"/>
  <c r="H146" i="1"/>
  <c r="I146" i="1"/>
  <c r="J146" i="1"/>
  <c r="C147" i="1"/>
  <c r="G147" i="1"/>
  <c r="H147" i="1"/>
  <c r="I147" i="1"/>
  <c r="J147" i="1"/>
  <c r="K147" i="1"/>
  <c r="C148" i="1"/>
  <c r="G148" i="1"/>
  <c r="H148" i="1"/>
  <c r="I148" i="1"/>
  <c r="J148" i="1"/>
  <c r="K148" i="1"/>
  <c r="C149" i="1"/>
  <c r="G149" i="1"/>
  <c r="H149" i="1"/>
  <c r="I149" i="1"/>
  <c r="J149" i="1"/>
  <c r="K149" i="1"/>
  <c r="C150" i="1"/>
  <c r="K150" i="1"/>
  <c r="G150" i="1"/>
  <c r="H150" i="1"/>
  <c r="I150" i="1"/>
  <c r="J150" i="1"/>
  <c r="C151" i="1"/>
  <c r="G151" i="1"/>
  <c r="H151" i="1"/>
  <c r="I151" i="1"/>
  <c r="J151" i="1"/>
  <c r="K151" i="1"/>
  <c r="C152" i="1"/>
  <c r="K152" i="1"/>
  <c r="G152" i="1"/>
  <c r="H152" i="1"/>
  <c r="I152" i="1"/>
  <c r="J152" i="1"/>
  <c r="C7" i="1"/>
  <c r="G7" i="1"/>
  <c r="H7" i="1"/>
  <c r="I7" i="1"/>
  <c r="J7" i="1"/>
  <c r="K7" i="1"/>
  <c r="C8" i="1"/>
  <c r="G8" i="1"/>
  <c r="H8" i="1"/>
  <c r="I8" i="1"/>
  <c r="J8" i="1"/>
  <c r="K8" i="1"/>
  <c r="C9" i="1"/>
  <c r="G9" i="1"/>
  <c r="H9" i="1"/>
  <c r="I9" i="1"/>
  <c r="J9" i="1"/>
  <c r="K9" i="1"/>
  <c r="C10" i="1"/>
  <c r="G10" i="1"/>
  <c r="H10" i="1"/>
  <c r="I10" i="1"/>
  <c r="J10" i="1"/>
  <c r="K10" i="1"/>
  <c r="C11" i="1"/>
  <c r="K11" i="1" s="1"/>
  <c r="G11" i="1"/>
  <c r="H11" i="1"/>
  <c r="I11" i="1"/>
  <c r="J11" i="1"/>
  <c r="C12" i="1"/>
  <c r="K12" i="1" s="1"/>
  <c r="G12" i="1"/>
  <c r="H12" i="1"/>
  <c r="I12" i="1"/>
  <c r="J12" i="1"/>
  <c r="C13" i="1"/>
  <c r="K13" i="1" s="1"/>
  <c r="G13" i="1"/>
  <c r="H13" i="1"/>
  <c r="I13" i="1"/>
  <c r="J13" i="1"/>
  <c r="C14" i="1"/>
  <c r="K14" i="1" s="1"/>
  <c r="G14" i="1"/>
  <c r="H14" i="1"/>
  <c r="I14" i="1"/>
  <c r="J14" i="1"/>
  <c r="L14" i="1" s="1"/>
  <c r="C15" i="1"/>
  <c r="G15" i="1"/>
  <c r="H15" i="1"/>
  <c r="I15" i="1"/>
  <c r="J15" i="1"/>
  <c r="C16" i="1"/>
  <c r="G16" i="1"/>
  <c r="H16" i="1"/>
  <c r="I16" i="1"/>
  <c r="J16" i="1"/>
  <c r="C17" i="1"/>
  <c r="G17" i="1"/>
  <c r="H17" i="1"/>
  <c r="I17" i="1"/>
  <c r="J17" i="1"/>
  <c r="K17" i="1"/>
  <c r="C18" i="1"/>
  <c r="G18" i="1"/>
  <c r="H18" i="1"/>
  <c r="I18" i="1"/>
  <c r="J18" i="1"/>
  <c r="K18" i="1"/>
  <c r="C19" i="1"/>
  <c r="G19" i="1"/>
  <c r="H19" i="1"/>
  <c r="I19" i="1"/>
  <c r="J19" i="1"/>
  <c r="K19" i="1"/>
  <c r="C20" i="1"/>
  <c r="G20" i="1"/>
  <c r="H20" i="1"/>
  <c r="I20" i="1"/>
  <c r="J20" i="1"/>
  <c r="K20" i="1"/>
  <c r="C21" i="1"/>
  <c r="G21" i="1"/>
  <c r="H21" i="1"/>
  <c r="I21" i="1"/>
  <c r="J21" i="1"/>
  <c r="K21" i="1"/>
  <c r="C22" i="1"/>
  <c r="G22" i="1"/>
  <c r="H22" i="1"/>
  <c r="I22" i="1"/>
  <c r="J22" i="1"/>
  <c r="K22" i="1"/>
  <c r="C23" i="1"/>
  <c r="K23" i="1" s="1"/>
  <c r="G23" i="1"/>
  <c r="H23" i="1"/>
  <c r="I23" i="1"/>
  <c r="J23" i="1"/>
  <c r="C24" i="1"/>
  <c r="K24" i="1" s="1"/>
  <c r="G24" i="1"/>
  <c r="H24" i="1"/>
  <c r="I24" i="1"/>
  <c r="J24" i="1"/>
  <c r="C25" i="1"/>
  <c r="G25" i="1"/>
  <c r="H25" i="1"/>
  <c r="I25" i="1"/>
  <c r="J25" i="1"/>
  <c r="C26" i="1"/>
  <c r="K26" i="1" s="1"/>
  <c r="G26" i="1"/>
  <c r="H26" i="1"/>
  <c r="I26" i="1"/>
  <c r="J26" i="1"/>
  <c r="C27" i="1"/>
  <c r="G27" i="1"/>
  <c r="H27" i="1"/>
  <c r="I27" i="1"/>
  <c r="J27" i="1"/>
  <c r="L27" i="1" s="1"/>
  <c r="M27" i="1" s="1"/>
  <c r="C28" i="1"/>
  <c r="K28" i="1" s="1"/>
  <c r="G28" i="1"/>
  <c r="H28" i="1"/>
  <c r="L28" i="1" s="1"/>
  <c r="M28" i="1" s="1"/>
  <c r="I28" i="1"/>
  <c r="J28" i="1"/>
  <c r="C29" i="1"/>
  <c r="G29" i="1"/>
  <c r="H29" i="1"/>
  <c r="I29" i="1"/>
  <c r="J29" i="1"/>
  <c r="K29" i="1"/>
  <c r="C30" i="1"/>
  <c r="G30" i="1"/>
  <c r="H30" i="1"/>
  <c r="I30" i="1"/>
  <c r="J30" i="1"/>
  <c r="K30" i="1"/>
  <c r="C31" i="1"/>
  <c r="G31" i="1"/>
  <c r="H31" i="1"/>
  <c r="I31" i="1"/>
  <c r="J31" i="1"/>
  <c r="K31" i="1"/>
  <c r="C32" i="1"/>
  <c r="G32" i="1"/>
  <c r="H32" i="1"/>
  <c r="I32" i="1"/>
  <c r="J32" i="1"/>
  <c r="K32" i="1"/>
  <c r="C33" i="1"/>
  <c r="G33" i="1"/>
  <c r="H33" i="1"/>
  <c r="I33" i="1"/>
  <c r="J33" i="1"/>
  <c r="K33" i="1"/>
  <c r="C34" i="1"/>
  <c r="G34" i="1"/>
  <c r="H34" i="1"/>
  <c r="I34" i="1"/>
  <c r="J34" i="1"/>
  <c r="K34" i="1"/>
  <c r="C35" i="1"/>
  <c r="G35" i="1"/>
  <c r="H35" i="1"/>
  <c r="I35" i="1"/>
  <c r="J35" i="1"/>
  <c r="C36" i="1"/>
  <c r="K36" i="1" s="1"/>
  <c r="G36" i="1"/>
  <c r="H36" i="1"/>
  <c r="I36" i="1"/>
  <c r="J36" i="1"/>
  <c r="C37" i="1"/>
  <c r="K37" i="1" s="1"/>
  <c r="G37" i="1"/>
  <c r="H37" i="1"/>
  <c r="I37" i="1"/>
  <c r="J37" i="1"/>
  <c r="C38" i="1"/>
  <c r="G38" i="1"/>
  <c r="H38" i="1"/>
  <c r="I38" i="1"/>
  <c r="J38" i="1"/>
  <c r="C39" i="1"/>
  <c r="G39" i="1"/>
  <c r="H39" i="1"/>
  <c r="I39" i="1"/>
  <c r="J39" i="1"/>
  <c r="C40" i="1"/>
  <c r="G40" i="1"/>
  <c r="H40" i="1"/>
  <c r="I40" i="1"/>
  <c r="J40" i="1"/>
  <c r="C41" i="1"/>
  <c r="G41" i="1"/>
  <c r="H41" i="1"/>
  <c r="I41" i="1"/>
  <c r="J41" i="1"/>
  <c r="K41" i="1"/>
  <c r="C42" i="1"/>
  <c r="G42" i="1"/>
  <c r="H42" i="1"/>
  <c r="I42" i="1"/>
  <c r="J42" i="1"/>
  <c r="K42" i="1"/>
  <c r="C43" i="1"/>
  <c r="G43" i="1"/>
  <c r="H43" i="1"/>
  <c r="I43" i="1"/>
  <c r="J43" i="1"/>
  <c r="K43" i="1"/>
  <c r="C44" i="1"/>
  <c r="G44" i="1"/>
  <c r="H44" i="1"/>
  <c r="I44" i="1"/>
  <c r="J44" i="1"/>
  <c r="K44" i="1"/>
  <c r="C45" i="1"/>
  <c r="G45" i="1"/>
  <c r="H45" i="1"/>
  <c r="I45" i="1"/>
  <c r="J45" i="1"/>
  <c r="K45" i="1"/>
  <c r="C46" i="1"/>
  <c r="G46" i="1"/>
  <c r="H46" i="1"/>
  <c r="I46" i="1"/>
  <c r="J46" i="1"/>
  <c r="K46" i="1"/>
  <c r="C47" i="1"/>
  <c r="K47" i="1" s="1"/>
  <c r="G47" i="1"/>
  <c r="H47" i="1"/>
  <c r="I47" i="1"/>
  <c r="J47" i="1"/>
  <c r="C48" i="1"/>
  <c r="K48" i="1" s="1"/>
  <c r="G48" i="1"/>
  <c r="H48" i="1"/>
  <c r="I48" i="1"/>
  <c r="J48" i="1"/>
  <c r="C49" i="1"/>
  <c r="K49" i="1" s="1"/>
  <c r="G49" i="1"/>
  <c r="H49" i="1"/>
  <c r="I49" i="1"/>
  <c r="J49" i="1"/>
  <c r="C50" i="1"/>
  <c r="K50" i="1" s="1"/>
  <c r="G50" i="1"/>
  <c r="H50" i="1"/>
  <c r="I50" i="1"/>
  <c r="J50" i="1"/>
  <c r="C51" i="1"/>
  <c r="G51" i="1"/>
  <c r="H51" i="1"/>
  <c r="I51" i="1"/>
  <c r="J51" i="1"/>
  <c r="C52" i="1"/>
  <c r="K52" i="1" s="1"/>
  <c r="G52" i="1"/>
  <c r="H52" i="1"/>
  <c r="I52" i="1"/>
  <c r="J52" i="1"/>
  <c r="L52" i="1" s="1"/>
  <c r="C53" i="1"/>
  <c r="G53" i="1"/>
  <c r="H53" i="1"/>
  <c r="I53" i="1"/>
  <c r="J53" i="1"/>
  <c r="K53" i="1"/>
  <c r="C54" i="1"/>
  <c r="G54" i="1"/>
  <c r="H54" i="1"/>
  <c r="I54" i="1"/>
  <c r="J54" i="1"/>
  <c r="K54" i="1"/>
  <c r="C55" i="1"/>
  <c r="G55" i="1"/>
  <c r="H55" i="1"/>
  <c r="I55" i="1"/>
  <c r="J55" i="1"/>
  <c r="K55" i="1"/>
  <c r="C56" i="1"/>
  <c r="G56" i="1"/>
  <c r="H56" i="1"/>
  <c r="I56" i="1"/>
  <c r="J56" i="1"/>
  <c r="K56" i="1"/>
  <c r="C57" i="1"/>
  <c r="G57" i="1"/>
  <c r="H57" i="1"/>
  <c r="I57" i="1"/>
  <c r="J57" i="1"/>
  <c r="K57" i="1"/>
  <c r="C58" i="1"/>
  <c r="G58" i="1"/>
  <c r="H58" i="1"/>
  <c r="I58" i="1"/>
  <c r="J58" i="1"/>
  <c r="K58" i="1"/>
  <c r="C59" i="1"/>
  <c r="G59" i="1"/>
  <c r="H59" i="1"/>
  <c r="I59" i="1"/>
  <c r="J59" i="1"/>
  <c r="C60" i="1"/>
  <c r="K60" i="1" s="1"/>
  <c r="G60" i="1"/>
  <c r="H60" i="1"/>
  <c r="I60" i="1"/>
  <c r="J60" i="1"/>
  <c r="C61" i="1"/>
  <c r="K61" i="1" s="1"/>
  <c r="G61" i="1"/>
  <c r="H61" i="1"/>
  <c r="I61" i="1"/>
  <c r="J61" i="1"/>
  <c r="C62" i="1"/>
  <c r="G62" i="1"/>
  <c r="H62" i="1"/>
  <c r="I62" i="1"/>
  <c r="J62" i="1"/>
  <c r="C63" i="1"/>
  <c r="K63" i="1" s="1"/>
  <c r="G63" i="1"/>
  <c r="H63" i="1"/>
  <c r="I63" i="1"/>
  <c r="J63" i="1"/>
  <c r="C64" i="1"/>
  <c r="G64" i="1"/>
  <c r="H64" i="1"/>
  <c r="I64" i="1"/>
  <c r="J64" i="1"/>
  <c r="C65" i="1"/>
  <c r="G65" i="1"/>
  <c r="H65" i="1"/>
  <c r="I65" i="1"/>
  <c r="J65" i="1"/>
  <c r="K65" i="1"/>
  <c r="C66" i="1"/>
  <c r="G66" i="1"/>
  <c r="H66" i="1"/>
  <c r="I66" i="1"/>
  <c r="J66" i="1"/>
  <c r="K66" i="1"/>
  <c r="C67" i="1"/>
  <c r="G67" i="1"/>
  <c r="H67" i="1"/>
  <c r="I67" i="1"/>
  <c r="J67" i="1"/>
  <c r="K67" i="1"/>
  <c r="C68" i="1"/>
  <c r="G68" i="1"/>
  <c r="H68" i="1"/>
  <c r="I68" i="1"/>
  <c r="J68" i="1"/>
  <c r="K68" i="1"/>
  <c r="C69" i="1"/>
  <c r="G69" i="1"/>
  <c r="H69" i="1"/>
  <c r="I69" i="1"/>
  <c r="J69" i="1"/>
  <c r="K69" i="1"/>
  <c r="C70" i="1"/>
  <c r="G70" i="1"/>
  <c r="H70" i="1"/>
  <c r="I70" i="1"/>
  <c r="J70" i="1"/>
  <c r="C71" i="1"/>
  <c r="G71" i="1"/>
  <c r="H71" i="1"/>
  <c r="I71" i="1"/>
  <c r="J71" i="1"/>
  <c r="C72" i="1"/>
  <c r="K72" i="1" s="1"/>
  <c r="G72" i="1"/>
  <c r="H72" i="1"/>
  <c r="I72" i="1"/>
  <c r="J72" i="1"/>
  <c r="C73" i="1"/>
  <c r="K73" i="1" s="1"/>
  <c r="G73" i="1"/>
  <c r="H73" i="1"/>
  <c r="I73" i="1"/>
  <c r="J73" i="1"/>
  <c r="C74" i="1"/>
  <c r="K74" i="1" s="1"/>
  <c r="G74" i="1"/>
  <c r="H74" i="1"/>
  <c r="I74" i="1"/>
  <c r="J74" i="1"/>
  <c r="C75" i="1"/>
  <c r="K75" i="1" s="1"/>
  <c r="G75" i="1"/>
  <c r="H75" i="1"/>
  <c r="I75" i="1"/>
  <c r="J75" i="1"/>
  <c r="C76" i="1"/>
  <c r="K76" i="1" s="1"/>
  <c r="G76" i="1"/>
  <c r="H76" i="1"/>
  <c r="I76" i="1"/>
  <c r="J76" i="1"/>
  <c r="C77" i="1"/>
  <c r="G77" i="1"/>
  <c r="H77" i="1"/>
  <c r="I77" i="1"/>
  <c r="J77" i="1"/>
  <c r="K77" i="1"/>
  <c r="C78" i="1"/>
  <c r="G78" i="1"/>
  <c r="H78" i="1"/>
  <c r="L78" i="1" s="1"/>
  <c r="M78" i="1" s="1"/>
  <c r="I78" i="1"/>
  <c r="J78" i="1"/>
  <c r="K78" i="1"/>
  <c r="C79" i="1"/>
  <c r="G79" i="1"/>
  <c r="H79" i="1"/>
  <c r="I79" i="1"/>
  <c r="J79" i="1"/>
  <c r="K79" i="1"/>
  <c r="C80" i="1"/>
  <c r="G80" i="1"/>
  <c r="H80" i="1"/>
  <c r="I80" i="1"/>
  <c r="J80" i="1"/>
  <c r="K80" i="1"/>
  <c r="C81" i="1"/>
  <c r="G81" i="1"/>
  <c r="H81" i="1"/>
  <c r="I81" i="1"/>
  <c r="J81" i="1"/>
  <c r="K81" i="1"/>
  <c r="C82" i="1"/>
  <c r="K82" i="1" s="1"/>
  <c r="G82" i="1"/>
  <c r="H82" i="1"/>
  <c r="I82" i="1"/>
  <c r="J82" i="1"/>
  <c r="C83" i="1"/>
  <c r="G83" i="1"/>
  <c r="H83" i="1"/>
  <c r="I83" i="1"/>
  <c r="J83" i="1"/>
  <c r="C84" i="1"/>
  <c r="K84" i="1" s="1"/>
  <c r="G84" i="1"/>
  <c r="H84" i="1"/>
  <c r="I84" i="1"/>
  <c r="J84" i="1"/>
  <c r="L84" i="1" s="1"/>
  <c r="C85" i="1"/>
  <c r="K85" i="1" s="1"/>
  <c r="G85" i="1"/>
  <c r="H85" i="1"/>
  <c r="I85" i="1"/>
  <c r="J85" i="1"/>
  <c r="C86" i="1"/>
  <c r="G86" i="1"/>
  <c r="H86" i="1"/>
  <c r="I86" i="1"/>
  <c r="J86" i="1"/>
  <c r="C87" i="1"/>
  <c r="G87" i="1"/>
  <c r="H87" i="1"/>
  <c r="I87" i="1"/>
  <c r="J87" i="1"/>
  <c r="C88" i="1"/>
  <c r="G88" i="1"/>
  <c r="H88" i="1"/>
  <c r="L88" i="1" s="1"/>
  <c r="M88" i="1" s="1"/>
  <c r="I88" i="1"/>
  <c r="J88" i="1"/>
  <c r="K88" i="1"/>
  <c r="C89" i="1"/>
  <c r="G89" i="1"/>
  <c r="H89" i="1"/>
  <c r="I89" i="1"/>
  <c r="J89" i="1"/>
  <c r="K89" i="1"/>
  <c r="C90" i="1"/>
  <c r="G90" i="1"/>
  <c r="H90" i="1"/>
  <c r="I90" i="1"/>
  <c r="J90" i="1"/>
  <c r="K90" i="1"/>
  <c r="C91" i="1"/>
  <c r="G91" i="1"/>
  <c r="H91" i="1"/>
  <c r="I91" i="1"/>
  <c r="J91" i="1"/>
  <c r="K91" i="1"/>
  <c r="C92" i="1"/>
  <c r="G92" i="1"/>
  <c r="H92" i="1"/>
  <c r="L92" i="1" s="1"/>
  <c r="M92" i="1" s="1"/>
  <c r="I92" i="1"/>
  <c r="J92" i="1"/>
  <c r="K92" i="1"/>
  <c r="C93" i="1"/>
  <c r="G93" i="1"/>
  <c r="H93" i="1"/>
  <c r="I93" i="1"/>
  <c r="J93" i="1"/>
  <c r="K93" i="1"/>
  <c r="C94" i="1"/>
  <c r="K94" i="1" s="1"/>
  <c r="G94" i="1"/>
  <c r="H94" i="1"/>
  <c r="I94" i="1"/>
  <c r="J94" i="1"/>
  <c r="C95" i="1"/>
  <c r="K95" i="1" s="1"/>
  <c r="G95" i="1"/>
  <c r="H95" i="1"/>
  <c r="I95" i="1"/>
  <c r="J95" i="1"/>
  <c r="C96" i="1"/>
  <c r="K96" i="1" s="1"/>
  <c r="G96" i="1"/>
  <c r="H96" i="1"/>
  <c r="I96" i="1"/>
  <c r="J96" i="1"/>
  <c r="C97" i="1"/>
  <c r="G97" i="1"/>
  <c r="H97" i="1"/>
  <c r="I97" i="1"/>
  <c r="J97" i="1"/>
  <c r="C98" i="1"/>
  <c r="K98" i="1" s="1"/>
  <c r="G98" i="1"/>
  <c r="H98" i="1"/>
  <c r="I98" i="1"/>
  <c r="J98" i="1"/>
  <c r="C99" i="1"/>
  <c r="G99" i="1"/>
  <c r="H99" i="1"/>
  <c r="I99" i="1"/>
  <c r="J99" i="1"/>
  <c r="C100" i="1"/>
  <c r="K100" i="1" s="1"/>
  <c r="G100" i="1"/>
  <c r="H100" i="1"/>
  <c r="I100" i="1"/>
  <c r="J100" i="1"/>
  <c r="C101" i="1"/>
  <c r="G101" i="1"/>
  <c r="H101" i="1"/>
  <c r="I101" i="1"/>
  <c r="J101" i="1"/>
  <c r="K101" i="1"/>
  <c r="C102" i="1"/>
  <c r="G102" i="1"/>
  <c r="H102" i="1"/>
  <c r="I102" i="1"/>
  <c r="J102" i="1"/>
  <c r="L102" i="1" s="1"/>
  <c r="K102" i="1"/>
  <c r="C103" i="1"/>
  <c r="G103" i="1"/>
  <c r="H103" i="1"/>
  <c r="I103" i="1"/>
  <c r="J103" i="1"/>
  <c r="K103" i="1"/>
  <c r="C104" i="1"/>
  <c r="G104" i="1"/>
  <c r="H104" i="1"/>
  <c r="I104" i="1"/>
  <c r="J104" i="1"/>
  <c r="K104" i="1"/>
  <c r="C105" i="1"/>
  <c r="G105" i="1"/>
  <c r="H105" i="1"/>
  <c r="I105" i="1"/>
  <c r="J105" i="1"/>
  <c r="K105" i="1"/>
  <c r="C106" i="1"/>
  <c r="K106" i="1" s="1"/>
  <c r="G106" i="1"/>
  <c r="H106" i="1"/>
  <c r="I106" i="1"/>
  <c r="J106" i="1"/>
  <c r="C107" i="1"/>
  <c r="G107" i="1"/>
  <c r="H107" i="1"/>
  <c r="I107" i="1"/>
  <c r="J107" i="1"/>
  <c r="C108" i="1"/>
  <c r="G108" i="1"/>
  <c r="H108" i="1"/>
  <c r="I108" i="1"/>
  <c r="J108" i="1"/>
  <c r="C109" i="1"/>
  <c r="K109" i="1" s="1"/>
  <c r="G109" i="1"/>
  <c r="H109" i="1"/>
  <c r="I109" i="1"/>
  <c r="J109" i="1"/>
  <c r="C110" i="1"/>
  <c r="G110" i="1"/>
  <c r="H110" i="1"/>
  <c r="I110" i="1"/>
  <c r="J110" i="1"/>
  <c r="C111" i="1"/>
  <c r="K111" i="1" s="1"/>
  <c r="G111" i="1"/>
  <c r="H111" i="1"/>
  <c r="I111" i="1"/>
  <c r="J111" i="1"/>
  <c r="D6" i="6"/>
  <c r="E6" i="6"/>
  <c r="F6" i="6"/>
  <c r="G6" i="6"/>
  <c r="J6" i="6"/>
  <c r="D7" i="6"/>
  <c r="E7" i="6"/>
  <c r="G7" i="6"/>
  <c r="D8" i="6"/>
  <c r="E8" i="6"/>
  <c r="F8" i="6" s="1"/>
  <c r="J8" i="6" s="1"/>
  <c r="G8" i="6"/>
  <c r="H8" i="6"/>
  <c r="I8" i="6" s="1"/>
  <c r="D9" i="6"/>
  <c r="E9" i="6"/>
  <c r="F9" i="6"/>
  <c r="H9" i="6" s="1"/>
  <c r="I9" i="6" s="1"/>
  <c r="G9" i="6"/>
  <c r="J9" i="6"/>
  <c r="D10" i="6"/>
  <c r="E10" i="6"/>
  <c r="F10" i="6" s="1"/>
  <c r="G10" i="6"/>
  <c r="D11" i="6"/>
  <c r="E11" i="6"/>
  <c r="G11" i="6"/>
  <c r="D12" i="6"/>
  <c r="E12" i="6"/>
  <c r="G12" i="6"/>
  <c r="D13" i="6"/>
  <c r="E13" i="6"/>
  <c r="F13" i="6"/>
  <c r="H13" i="6" s="1"/>
  <c r="I13" i="6" s="1"/>
  <c r="G13" i="6"/>
  <c r="J13" i="6"/>
  <c r="D14" i="6"/>
  <c r="F14" i="6" s="1"/>
  <c r="E14" i="6"/>
  <c r="G14" i="6"/>
  <c r="D15" i="6"/>
  <c r="E15" i="6"/>
  <c r="F15" i="6"/>
  <c r="J15" i="6" s="1"/>
  <c r="G15" i="6"/>
  <c r="H15" i="6"/>
  <c r="I15" i="6" s="1"/>
  <c r="D16" i="6"/>
  <c r="E16" i="6"/>
  <c r="G16" i="6"/>
  <c r="D17" i="6"/>
  <c r="E17" i="6"/>
  <c r="G17" i="6"/>
  <c r="D18" i="6"/>
  <c r="F18" i="6" s="1"/>
  <c r="J18" i="6" s="1"/>
  <c r="E18" i="6"/>
  <c r="G18" i="6"/>
  <c r="D19" i="6"/>
  <c r="E19" i="6"/>
  <c r="G19" i="6"/>
  <c r="D20" i="6"/>
  <c r="E20" i="6"/>
  <c r="F20" i="6" s="1"/>
  <c r="J20" i="6" s="1"/>
  <c r="G20" i="6"/>
  <c r="H20" i="6"/>
  <c r="I20" i="6" s="1"/>
  <c r="D21" i="6"/>
  <c r="E21" i="6"/>
  <c r="F21" i="6"/>
  <c r="H21" i="6" s="1"/>
  <c r="I21" i="6" s="1"/>
  <c r="G21" i="6"/>
  <c r="J21" i="6"/>
  <c r="D22" i="6"/>
  <c r="E22" i="6"/>
  <c r="F22" i="6" s="1"/>
  <c r="G22" i="6"/>
  <c r="D23" i="6"/>
  <c r="E23" i="6"/>
  <c r="G23" i="6"/>
  <c r="D24" i="6"/>
  <c r="E24" i="6"/>
  <c r="G24" i="6"/>
  <c r="D25" i="6"/>
  <c r="E25" i="6"/>
  <c r="F25" i="6" s="1"/>
  <c r="G25" i="6"/>
  <c r="D26" i="6"/>
  <c r="E26" i="6"/>
  <c r="G26" i="6"/>
  <c r="D27" i="6"/>
  <c r="E27" i="6"/>
  <c r="F27" i="6" s="1"/>
  <c r="G27" i="6"/>
  <c r="D28" i="6"/>
  <c r="E28" i="6"/>
  <c r="G28" i="6"/>
  <c r="D29" i="6"/>
  <c r="E29" i="6"/>
  <c r="F29" i="6"/>
  <c r="G29" i="6"/>
  <c r="D30" i="6"/>
  <c r="E30" i="6"/>
  <c r="F30" i="6" s="1"/>
  <c r="J30" i="6" s="1"/>
  <c r="G30" i="6"/>
  <c r="D31" i="6"/>
  <c r="E31" i="6"/>
  <c r="G31" i="6"/>
  <c r="D32" i="6"/>
  <c r="E32" i="6"/>
  <c r="F32" i="6" s="1"/>
  <c r="J32" i="6" s="1"/>
  <c r="G32" i="6"/>
  <c r="D33" i="6"/>
  <c r="E33" i="6"/>
  <c r="F33" i="6"/>
  <c r="H33" i="6" s="1"/>
  <c r="I33" i="6" s="1"/>
  <c r="G33" i="6"/>
  <c r="D34" i="6"/>
  <c r="E34" i="6"/>
  <c r="F34" i="6" s="1"/>
  <c r="G34" i="6"/>
  <c r="D35" i="6"/>
  <c r="E35" i="6"/>
  <c r="G35" i="6"/>
  <c r="D36" i="6"/>
  <c r="E36" i="6"/>
  <c r="G36" i="6"/>
  <c r="D37" i="6"/>
  <c r="F37" i="6" s="1"/>
  <c r="E37" i="6"/>
  <c r="G37" i="6"/>
  <c r="D38" i="6"/>
  <c r="F38" i="6" s="1"/>
  <c r="E38" i="6"/>
  <c r="G38" i="6"/>
  <c r="D39" i="6"/>
  <c r="E39" i="6"/>
  <c r="F39" i="6"/>
  <c r="J39" i="6" s="1"/>
  <c r="G39" i="6"/>
  <c r="D40" i="6"/>
  <c r="E40" i="6"/>
  <c r="G40" i="6"/>
  <c r="D41" i="6"/>
  <c r="E41" i="6"/>
  <c r="G41" i="6"/>
  <c r="D42" i="6"/>
  <c r="E42" i="6"/>
  <c r="F42" i="6" s="1"/>
  <c r="J42" i="6" s="1"/>
  <c r="G42" i="6"/>
  <c r="D43" i="6"/>
  <c r="F43" i="6" s="1"/>
  <c r="E43" i="6"/>
  <c r="G43" i="6"/>
  <c r="D44" i="6"/>
  <c r="E44" i="6"/>
  <c r="F44" i="6" s="1"/>
  <c r="J44" i="6" s="1"/>
  <c r="G44" i="6"/>
  <c r="D45" i="6"/>
  <c r="E45" i="6"/>
  <c r="F45" i="6"/>
  <c r="H45" i="6" s="1"/>
  <c r="I45" i="6" s="1"/>
  <c r="G45" i="6"/>
  <c r="D46" i="6"/>
  <c r="E46" i="6"/>
  <c r="G46" i="6"/>
  <c r="D47" i="6"/>
  <c r="E47" i="6"/>
  <c r="G47" i="6"/>
  <c r="D48" i="6"/>
  <c r="E48" i="6"/>
  <c r="G48" i="6"/>
  <c r="D49" i="6"/>
  <c r="F49" i="6" s="1"/>
  <c r="E49" i="6"/>
  <c r="G49" i="6"/>
  <c r="D50" i="6"/>
  <c r="F50" i="6" s="1"/>
  <c r="E50" i="6"/>
  <c r="G50" i="6"/>
  <c r="D51" i="6"/>
  <c r="E51" i="6"/>
  <c r="F51" i="6"/>
  <c r="J51" i="6" s="1"/>
  <c r="G51" i="6"/>
  <c r="D52" i="6"/>
  <c r="F52" i="6" s="1"/>
  <c r="E52" i="6"/>
  <c r="G52" i="6"/>
  <c r="D53" i="6"/>
  <c r="E53" i="6"/>
  <c r="G53" i="6"/>
  <c r="D54" i="6"/>
  <c r="E54" i="6"/>
  <c r="F54" i="6" s="1"/>
  <c r="J54" i="6" s="1"/>
  <c r="G54" i="6"/>
  <c r="D55" i="6"/>
  <c r="F55" i="6" s="1"/>
  <c r="E55" i="6"/>
  <c r="G55" i="6"/>
  <c r="D56" i="6"/>
  <c r="E56" i="6"/>
  <c r="F56" i="6" s="1"/>
  <c r="J56" i="6" s="1"/>
  <c r="G56" i="6"/>
  <c r="D57" i="6"/>
  <c r="E57" i="6"/>
  <c r="F57" i="6"/>
  <c r="H57" i="6" s="1"/>
  <c r="I57" i="6" s="1"/>
  <c r="G57" i="6"/>
  <c r="D58" i="6"/>
  <c r="E58" i="6"/>
  <c r="G58" i="6"/>
  <c r="D59" i="6"/>
  <c r="E59" i="6"/>
  <c r="G59" i="6"/>
  <c r="D60" i="6"/>
  <c r="E60" i="6"/>
  <c r="G60" i="6"/>
  <c r="D61" i="6"/>
  <c r="E61" i="6"/>
  <c r="F61" i="6"/>
  <c r="G61" i="6"/>
  <c r="H61" i="6"/>
  <c r="I61" i="6" s="1"/>
  <c r="J61" i="6"/>
  <c r="D62" i="6"/>
  <c r="E62" i="6"/>
  <c r="G62" i="6"/>
  <c r="D63" i="6"/>
  <c r="F63" i="6" s="1"/>
  <c r="E63" i="6"/>
  <c r="G63" i="6"/>
  <c r="D64" i="6"/>
  <c r="E64" i="6"/>
  <c r="G64" i="6"/>
  <c r="D65" i="6"/>
  <c r="F65" i="6" s="1"/>
  <c r="E65" i="6"/>
  <c r="G65" i="6"/>
  <c r="D66" i="6"/>
  <c r="F66" i="6" s="1"/>
  <c r="J66" i="6" s="1"/>
  <c r="E66" i="6"/>
  <c r="G66" i="6"/>
  <c r="D67" i="6"/>
  <c r="F67" i="6" s="1"/>
  <c r="E67" i="6"/>
  <c r="G67" i="6"/>
  <c r="D68" i="6"/>
  <c r="E68" i="6"/>
  <c r="F68" i="6" s="1"/>
  <c r="J68" i="6" s="1"/>
  <c r="G68" i="6"/>
  <c r="H68" i="6"/>
  <c r="I68" i="6" s="1"/>
  <c r="D69" i="6"/>
  <c r="F69" i="6" s="1"/>
  <c r="E69" i="6"/>
  <c r="G69" i="6"/>
  <c r="D70" i="6"/>
  <c r="E70" i="6"/>
  <c r="G70" i="6"/>
  <c r="D71" i="6"/>
  <c r="E71" i="6"/>
  <c r="G71" i="6"/>
  <c r="D72" i="6"/>
  <c r="E72" i="6"/>
  <c r="G72" i="6"/>
  <c r="D73" i="6"/>
  <c r="E73" i="6"/>
  <c r="F73" i="6" s="1"/>
  <c r="G73" i="6"/>
  <c r="D74" i="6"/>
  <c r="E74" i="6"/>
  <c r="G74" i="6"/>
  <c r="D75" i="6"/>
  <c r="F75" i="6" s="1"/>
  <c r="E75" i="6"/>
  <c r="G75" i="6"/>
  <c r="D76" i="6"/>
  <c r="F76" i="6" s="1"/>
  <c r="E76" i="6"/>
  <c r="G76" i="6"/>
  <c r="D77" i="6"/>
  <c r="E77" i="6"/>
  <c r="G77" i="6"/>
  <c r="D78" i="6"/>
  <c r="F78" i="6" s="1"/>
  <c r="J78" i="6" s="1"/>
  <c r="E78" i="6"/>
  <c r="G78" i="6"/>
  <c r="D79" i="6"/>
  <c r="F79" i="6" s="1"/>
  <c r="E79" i="6"/>
  <c r="G79" i="6"/>
  <c r="D80" i="6"/>
  <c r="E80" i="6"/>
  <c r="F80" i="6" s="1"/>
  <c r="J80" i="6" s="1"/>
  <c r="G80" i="6"/>
  <c r="H80" i="6"/>
  <c r="I80" i="6" s="1"/>
  <c r="D81" i="6"/>
  <c r="F81" i="6" s="1"/>
  <c r="E81" i="6"/>
  <c r="G81" i="6"/>
  <c r="D82" i="6"/>
  <c r="E82" i="6"/>
  <c r="G82" i="6"/>
  <c r="D83" i="6"/>
  <c r="E83" i="6"/>
  <c r="G83" i="6"/>
  <c r="D84" i="6"/>
  <c r="E84" i="6"/>
  <c r="G84" i="6"/>
  <c r="D85" i="6"/>
  <c r="E85" i="6"/>
  <c r="F85" i="6" s="1"/>
  <c r="G85" i="6"/>
  <c r="D86" i="6"/>
  <c r="E86" i="6"/>
  <c r="G86" i="6"/>
  <c r="D87" i="6"/>
  <c r="F87" i="6" s="1"/>
  <c r="E87" i="6"/>
  <c r="G87" i="6"/>
  <c r="D88" i="6"/>
  <c r="F88" i="6" s="1"/>
  <c r="E88" i="6"/>
  <c r="G88" i="6"/>
  <c r="D89" i="6"/>
  <c r="E89" i="6"/>
  <c r="G89" i="6"/>
  <c r="D90" i="6"/>
  <c r="F90" i="6" s="1"/>
  <c r="J90" i="6" s="1"/>
  <c r="E90" i="6"/>
  <c r="G90" i="6"/>
  <c r="D91" i="6"/>
  <c r="F91" i="6" s="1"/>
  <c r="E91" i="6"/>
  <c r="G91" i="6"/>
  <c r="D92" i="6"/>
  <c r="E92" i="6"/>
  <c r="F92" i="6" s="1"/>
  <c r="J92" i="6" s="1"/>
  <c r="G92" i="6"/>
  <c r="H92" i="6"/>
  <c r="I92" i="6" s="1"/>
  <c r="D93" i="6"/>
  <c r="F93" i="6" s="1"/>
  <c r="E93" i="6"/>
  <c r="G93" i="6"/>
  <c r="D94" i="6"/>
  <c r="E94" i="6"/>
  <c r="G94" i="6"/>
  <c r="D95" i="6"/>
  <c r="E95" i="6"/>
  <c r="G95" i="6"/>
  <c r="D96" i="6"/>
  <c r="E96" i="6"/>
  <c r="G96" i="6"/>
  <c r="D97" i="6"/>
  <c r="E97" i="6"/>
  <c r="F97" i="6"/>
  <c r="J97" i="6" s="1"/>
  <c r="G97" i="6"/>
  <c r="H97" i="6"/>
  <c r="I97" i="6" s="1"/>
  <c r="D98" i="6"/>
  <c r="E98" i="6"/>
  <c r="G98" i="6"/>
  <c r="D99" i="6"/>
  <c r="E99" i="6"/>
  <c r="F99" i="6"/>
  <c r="J99" i="6" s="1"/>
  <c r="G99" i="6"/>
  <c r="H99" i="6"/>
  <c r="I99" i="6" s="1"/>
  <c r="D100" i="6"/>
  <c r="E100" i="6"/>
  <c r="G100" i="6"/>
  <c r="D101" i="6"/>
  <c r="E101" i="6"/>
  <c r="F101" i="6"/>
  <c r="G101" i="6"/>
  <c r="D102" i="6"/>
  <c r="E102" i="6"/>
  <c r="F102" i="6"/>
  <c r="G102" i="6"/>
  <c r="J102" i="6"/>
  <c r="D103" i="6"/>
  <c r="F103" i="6" s="1"/>
  <c r="E103" i="6"/>
  <c r="G103" i="6"/>
  <c r="D104" i="6"/>
  <c r="E104" i="6"/>
  <c r="F104" i="6" s="1"/>
  <c r="J104" i="6" s="1"/>
  <c r="G104" i="6"/>
  <c r="D105" i="6"/>
  <c r="E105" i="6"/>
  <c r="F105" i="6" s="1"/>
  <c r="G105" i="6"/>
  <c r="D106" i="6"/>
  <c r="E106" i="6"/>
  <c r="G106" i="6"/>
  <c r="D107" i="6"/>
  <c r="E107" i="6"/>
  <c r="G107" i="6"/>
  <c r="D108" i="6"/>
  <c r="E108" i="6"/>
  <c r="G108" i="6"/>
  <c r="D109" i="6"/>
  <c r="E109" i="6"/>
  <c r="F109" i="6" s="1"/>
  <c r="G109" i="6"/>
  <c r="D110" i="6"/>
  <c r="E110" i="6"/>
  <c r="G110" i="6"/>
  <c r="D111" i="6"/>
  <c r="F111" i="6" s="1"/>
  <c r="E111" i="6"/>
  <c r="G111" i="6"/>
  <c r="D112" i="6"/>
  <c r="F112" i="6" s="1"/>
  <c r="E112" i="6"/>
  <c r="G112" i="6"/>
  <c r="D113" i="6"/>
  <c r="F113" i="6" s="1"/>
  <c r="E113" i="6"/>
  <c r="G113" i="6"/>
  <c r="D114" i="6"/>
  <c r="E114" i="6"/>
  <c r="F114" i="6"/>
  <c r="J114" i="6" s="1"/>
  <c r="G114" i="6"/>
  <c r="D115" i="6"/>
  <c r="F115" i="6" s="1"/>
  <c r="E115" i="6"/>
  <c r="G115" i="6"/>
  <c r="D116" i="6"/>
  <c r="E116" i="6"/>
  <c r="F116" i="6" s="1"/>
  <c r="J116" i="6" s="1"/>
  <c r="G116" i="6"/>
  <c r="D117" i="6"/>
  <c r="E117" i="6"/>
  <c r="F117" i="6" s="1"/>
  <c r="G117" i="6"/>
  <c r="D118" i="6"/>
  <c r="E118" i="6"/>
  <c r="F118" i="6" s="1"/>
  <c r="G118" i="6"/>
  <c r="D119" i="6"/>
  <c r="F119" i="6" s="1"/>
  <c r="H119" i="6" s="1"/>
  <c r="I119" i="6" s="1"/>
  <c r="E119" i="6"/>
  <c r="G119" i="6"/>
  <c r="D120" i="6"/>
  <c r="E120" i="6"/>
  <c r="G120" i="6"/>
  <c r="D121" i="6"/>
  <c r="F121" i="6" s="1"/>
  <c r="E121" i="6"/>
  <c r="G121" i="6"/>
  <c r="D122" i="6"/>
  <c r="E122" i="6"/>
  <c r="G122" i="6"/>
  <c r="D123" i="6"/>
  <c r="F123" i="6" s="1"/>
  <c r="J123" i="6" s="1"/>
  <c r="E123" i="6"/>
  <c r="G123" i="6"/>
  <c r="D124" i="6"/>
  <c r="E124" i="6"/>
  <c r="G124" i="6"/>
  <c r="D125" i="6"/>
  <c r="E125" i="6"/>
  <c r="F125" i="6" s="1"/>
  <c r="G125" i="6"/>
  <c r="D126" i="6"/>
  <c r="E126" i="6"/>
  <c r="F126" i="6"/>
  <c r="J126" i="6" s="1"/>
  <c r="G126" i="6"/>
  <c r="D127" i="6"/>
  <c r="E127" i="6"/>
  <c r="G127" i="6"/>
  <c r="D128" i="6"/>
  <c r="E128" i="6"/>
  <c r="F128" i="6" s="1"/>
  <c r="J128" i="6" s="1"/>
  <c r="G128" i="6"/>
  <c r="H128" i="6"/>
  <c r="I128" i="6" s="1"/>
  <c r="D129" i="6"/>
  <c r="F129" i="6" s="1"/>
  <c r="E129" i="6"/>
  <c r="G129" i="6"/>
  <c r="D130" i="6"/>
  <c r="F130" i="6" s="1"/>
  <c r="E130" i="6"/>
  <c r="G130" i="6"/>
  <c r="D131" i="6"/>
  <c r="E131" i="6"/>
  <c r="G131" i="6"/>
  <c r="D132" i="6"/>
  <c r="E132" i="6"/>
  <c r="G132" i="6"/>
  <c r="D133" i="6"/>
  <c r="F133" i="6" s="1"/>
  <c r="E133" i="6"/>
  <c r="G133" i="6"/>
  <c r="D134" i="6"/>
  <c r="E134" i="6"/>
  <c r="G134" i="6"/>
  <c r="D135" i="6"/>
  <c r="E135" i="6"/>
  <c r="G135" i="6"/>
  <c r="D136" i="6"/>
  <c r="E136" i="6"/>
  <c r="G136" i="6"/>
  <c r="D137" i="6"/>
  <c r="E137" i="6"/>
  <c r="F137" i="6" s="1"/>
  <c r="G137" i="6"/>
  <c r="D138" i="6"/>
  <c r="F138" i="6" s="1"/>
  <c r="J138" i="6" s="1"/>
  <c r="E138" i="6"/>
  <c r="G138" i="6"/>
  <c r="D139" i="6"/>
  <c r="E139" i="6"/>
  <c r="G139" i="6"/>
  <c r="D140" i="6"/>
  <c r="E140" i="6"/>
  <c r="F140" i="6" s="1"/>
  <c r="J140" i="6" s="1"/>
  <c r="G140" i="6"/>
  <c r="D141" i="6"/>
  <c r="E141" i="6"/>
  <c r="F141" i="6"/>
  <c r="H141" i="6" s="1"/>
  <c r="I141" i="6" s="1"/>
  <c r="G141" i="6"/>
  <c r="D142" i="6"/>
  <c r="E142" i="6"/>
  <c r="F142" i="6" s="1"/>
  <c r="G142" i="6"/>
  <c r="D143" i="6"/>
  <c r="E143" i="6"/>
  <c r="G143" i="6"/>
  <c r="D144" i="6"/>
  <c r="E144" i="6"/>
  <c r="G144" i="6"/>
  <c r="D145" i="6"/>
  <c r="F145" i="6" s="1"/>
  <c r="E145" i="6"/>
  <c r="G145" i="6"/>
  <c r="D146" i="6"/>
  <c r="E146" i="6"/>
  <c r="G146" i="6"/>
  <c r="D147" i="6"/>
  <c r="E147" i="6"/>
  <c r="F147" i="6"/>
  <c r="J147" i="6" s="1"/>
  <c r="G147" i="6"/>
  <c r="D148" i="6"/>
  <c r="F148" i="6" s="1"/>
  <c r="E148" i="6"/>
  <c r="G148" i="6"/>
  <c r="D149" i="6"/>
  <c r="E149" i="6"/>
  <c r="F149" i="6" s="1"/>
  <c r="G149" i="6"/>
  <c r="D150" i="6"/>
  <c r="E150" i="6"/>
  <c r="F150" i="6"/>
  <c r="J150" i="6" s="1"/>
  <c r="G150" i="6"/>
  <c r="D151" i="6"/>
  <c r="F151" i="6" s="1"/>
  <c r="E151" i="6"/>
  <c r="G151" i="6"/>
  <c r="D152" i="6"/>
  <c r="E152" i="6"/>
  <c r="F152" i="6" s="1"/>
  <c r="J152" i="6" s="1"/>
  <c r="G152" i="6"/>
  <c r="D153" i="6"/>
  <c r="E153" i="6"/>
  <c r="F153" i="6"/>
  <c r="H153" i="6" s="1"/>
  <c r="I153" i="6" s="1"/>
  <c r="G153" i="6"/>
  <c r="J153" i="6"/>
  <c r="D154" i="6"/>
  <c r="E154" i="6"/>
  <c r="F154" i="6" s="1"/>
  <c r="G154" i="6"/>
  <c r="D155" i="6"/>
  <c r="F155" i="6" s="1"/>
  <c r="E155" i="6"/>
  <c r="G155" i="6"/>
  <c r="H155" i="6"/>
  <c r="I155" i="6" s="1"/>
  <c r="J155" i="6"/>
  <c r="D156" i="6"/>
  <c r="E156" i="6"/>
  <c r="G156" i="6"/>
  <c r="D157" i="6"/>
  <c r="E157" i="6"/>
  <c r="F157" i="6" s="1"/>
  <c r="G157" i="6"/>
  <c r="D158" i="6"/>
  <c r="E158" i="6"/>
  <c r="F158" i="6" s="1"/>
  <c r="G158" i="6"/>
  <c r="D159" i="6"/>
  <c r="E159" i="6"/>
  <c r="G159" i="6"/>
  <c r="D160" i="6"/>
  <c r="F160" i="6" s="1"/>
  <c r="E160" i="6"/>
  <c r="G160" i="6"/>
  <c r="D161" i="6"/>
  <c r="E161" i="6"/>
  <c r="F161" i="6"/>
  <c r="G161" i="6"/>
  <c r="D162" i="6"/>
  <c r="E162" i="6"/>
  <c r="F162" i="6" s="1"/>
  <c r="J162" i="6" s="1"/>
  <c r="G162" i="6"/>
  <c r="D163" i="6"/>
  <c r="F163" i="6" s="1"/>
  <c r="E163" i="6"/>
  <c r="G163" i="6"/>
  <c r="D164" i="6"/>
  <c r="E164" i="6"/>
  <c r="F164" i="6" s="1"/>
  <c r="J164" i="6" s="1"/>
  <c r="G164" i="6"/>
  <c r="D165" i="6"/>
  <c r="E165" i="6"/>
  <c r="F165" i="6"/>
  <c r="H165" i="6" s="1"/>
  <c r="I165" i="6" s="1"/>
  <c r="G165" i="6"/>
  <c r="J165" i="6"/>
  <c r="D166" i="6"/>
  <c r="E166" i="6"/>
  <c r="F166" i="6" s="1"/>
  <c r="G166" i="6"/>
  <c r="D167" i="6"/>
  <c r="F167" i="6" s="1"/>
  <c r="H167" i="6" s="1"/>
  <c r="I167" i="6" s="1"/>
  <c r="E167" i="6"/>
  <c r="G167" i="6"/>
  <c r="D168" i="6"/>
  <c r="F168" i="6" s="1"/>
  <c r="E168" i="6"/>
  <c r="G168" i="6"/>
  <c r="D169" i="6"/>
  <c r="E169" i="6"/>
  <c r="F169" i="6"/>
  <c r="J169" i="6" s="1"/>
  <c r="G169" i="6"/>
  <c r="H169" i="6"/>
  <c r="I169" i="6" s="1"/>
  <c r="D170" i="6"/>
  <c r="E170" i="6"/>
  <c r="G170" i="6"/>
  <c r="D171" i="6"/>
  <c r="F171" i="6" s="1"/>
  <c r="J171" i="6" s="1"/>
  <c r="E171" i="6"/>
  <c r="G171" i="6"/>
  <c r="D172" i="6"/>
  <c r="F172" i="6" s="1"/>
  <c r="E172" i="6"/>
  <c r="G172" i="6"/>
  <c r="D173" i="6"/>
  <c r="E173" i="6"/>
  <c r="F173" i="6" s="1"/>
  <c r="G173" i="6"/>
  <c r="D174" i="6"/>
  <c r="F174" i="6" s="1"/>
  <c r="J174" i="6" s="1"/>
  <c r="E174" i="6"/>
  <c r="G174" i="6"/>
  <c r="D175" i="6"/>
  <c r="F175" i="6" s="1"/>
  <c r="E175" i="6"/>
  <c r="G175" i="6"/>
  <c r="D176" i="6"/>
  <c r="E176" i="6"/>
  <c r="F176" i="6" s="1"/>
  <c r="J176" i="6" s="1"/>
  <c r="G176" i="6"/>
  <c r="D177" i="6"/>
  <c r="F177" i="6" s="1"/>
  <c r="E177" i="6"/>
  <c r="G177" i="6"/>
  <c r="D178" i="6"/>
  <c r="F178" i="6" s="1"/>
  <c r="E178" i="6"/>
  <c r="G178" i="6"/>
  <c r="D179" i="6"/>
  <c r="E179" i="6"/>
  <c r="G179" i="6"/>
  <c r="D180" i="6"/>
  <c r="E180" i="6"/>
  <c r="G180" i="6"/>
  <c r="D181" i="6"/>
  <c r="F181" i="6" s="1"/>
  <c r="E181" i="6"/>
  <c r="G181" i="6"/>
  <c r="D182" i="6"/>
  <c r="F182" i="6" s="1"/>
  <c r="E182" i="6"/>
  <c r="G182" i="6"/>
  <c r="D183" i="6"/>
  <c r="F183" i="6" s="1"/>
  <c r="E183" i="6"/>
  <c r="G183" i="6"/>
  <c r="D184" i="6"/>
  <c r="F184" i="6" s="1"/>
  <c r="E184" i="6"/>
  <c r="G184" i="6"/>
  <c r="D185" i="6"/>
  <c r="F185" i="6" s="1"/>
  <c r="E185" i="6"/>
  <c r="G185" i="6"/>
  <c r="D186" i="6"/>
  <c r="E186" i="6"/>
  <c r="F186" i="6"/>
  <c r="J186" i="6" s="1"/>
  <c r="G186" i="6"/>
  <c r="D187" i="6"/>
  <c r="F187" i="6" s="1"/>
  <c r="E187" i="6"/>
  <c r="G187" i="6"/>
  <c r="D188" i="6"/>
  <c r="E188" i="6"/>
  <c r="F188" i="6" s="1"/>
  <c r="J188" i="6" s="1"/>
  <c r="G188" i="6"/>
  <c r="D189" i="6"/>
  <c r="F189" i="6" s="1"/>
  <c r="E189" i="6"/>
  <c r="G189" i="6"/>
  <c r="D190" i="6"/>
  <c r="E190" i="6"/>
  <c r="F190" i="6" s="1"/>
  <c r="G190" i="6"/>
  <c r="D191" i="6"/>
  <c r="F191" i="6" s="1"/>
  <c r="H191" i="6" s="1"/>
  <c r="I191" i="6" s="1"/>
  <c r="E191" i="6"/>
  <c r="G191" i="6"/>
  <c r="D192" i="6"/>
  <c r="E192" i="6"/>
  <c r="G192" i="6"/>
  <c r="D193" i="6"/>
  <c r="F193" i="6" s="1"/>
  <c r="E193" i="6"/>
  <c r="G193" i="6"/>
  <c r="D194" i="6"/>
  <c r="E194" i="6"/>
  <c r="G194" i="6"/>
  <c r="D195" i="6"/>
  <c r="F195" i="6" s="1"/>
  <c r="J195" i="6" s="1"/>
  <c r="E195" i="6"/>
  <c r="G195" i="6"/>
  <c r="D196" i="6"/>
  <c r="E196" i="6"/>
  <c r="G196" i="6"/>
  <c r="D197" i="6"/>
  <c r="E197" i="6"/>
  <c r="F197" i="6" s="1"/>
  <c r="G197" i="6"/>
  <c r="D198" i="6"/>
  <c r="E198" i="6"/>
  <c r="F198" i="6"/>
  <c r="J198" i="6" s="1"/>
  <c r="G198" i="6"/>
  <c r="D199" i="6"/>
  <c r="E199" i="6"/>
  <c r="G199" i="6"/>
  <c r="D200" i="6"/>
  <c r="E200" i="6"/>
  <c r="F200" i="6" s="1"/>
  <c r="J200" i="6" s="1"/>
  <c r="G200" i="6"/>
  <c r="H200" i="6"/>
  <c r="I200" i="6" s="1"/>
  <c r="D201" i="6"/>
  <c r="F201" i="6" s="1"/>
  <c r="E201" i="6"/>
  <c r="G201" i="6"/>
  <c r="D202" i="6"/>
  <c r="F202" i="6" s="1"/>
  <c r="E202" i="6"/>
  <c r="G202" i="6"/>
  <c r="D203" i="6"/>
  <c r="E203" i="6"/>
  <c r="G203" i="6"/>
  <c r="D204" i="6"/>
  <c r="E204" i="6"/>
  <c r="G204" i="6"/>
  <c r="D205" i="6"/>
  <c r="F205" i="6" s="1"/>
  <c r="E205" i="6"/>
  <c r="G205" i="6"/>
  <c r="D206" i="6"/>
  <c r="E206" i="6"/>
  <c r="G206" i="6"/>
  <c r="D207" i="6"/>
  <c r="E207" i="6"/>
  <c r="G207" i="6"/>
  <c r="D208" i="6"/>
  <c r="E208" i="6"/>
  <c r="G208" i="6"/>
  <c r="D209" i="6"/>
  <c r="E209" i="6"/>
  <c r="F209" i="6" s="1"/>
  <c r="G209" i="6"/>
  <c r="D210" i="6"/>
  <c r="F210" i="6" s="1"/>
  <c r="J210" i="6" s="1"/>
  <c r="E210" i="6"/>
  <c r="G210" i="6"/>
  <c r="D211" i="6"/>
  <c r="E211" i="6"/>
  <c r="G211" i="6"/>
  <c r="D212" i="6"/>
  <c r="E212" i="6"/>
  <c r="F212" i="6" s="1"/>
  <c r="J212" i="6" s="1"/>
  <c r="G212" i="6"/>
  <c r="D213" i="6"/>
  <c r="E213" i="6"/>
  <c r="F213" i="6"/>
  <c r="H213" i="6" s="1"/>
  <c r="I213" i="6" s="1"/>
  <c r="G213" i="6"/>
  <c r="D214" i="6"/>
  <c r="E214" i="6"/>
  <c r="F214" i="6" s="1"/>
  <c r="G214" i="6"/>
  <c r="D215" i="6"/>
  <c r="E215" i="6"/>
  <c r="G215" i="6"/>
  <c r="D216" i="6"/>
  <c r="E216" i="6"/>
  <c r="G216" i="6"/>
  <c r="D217" i="6"/>
  <c r="F217" i="6" s="1"/>
  <c r="E217" i="6"/>
  <c r="G217" i="6"/>
  <c r="D218" i="6"/>
  <c r="F218" i="6" s="1"/>
  <c r="E218" i="6"/>
  <c r="G218" i="6"/>
  <c r="D219" i="6"/>
  <c r="E219" i="6"/>
  <c r="F219" i="6"/>
  <c r="J219" i="6" s="1"/>
  <c r="G219" i="6"/>
  <c r="D220" i="6"/>
  <c r="F220" i="6" s="1"/>
  <c r="E220" i="6"/>
  <c r="G220" i="6"/>
  <c r="D221" i="6"/>
  <c r="E221" i="6"/>
  <c r="F221" i="6" s="1"/>
  <c r="G221" i="6"/>
  <c r="D222" i="6"/>
  <c r="E222" i="6"/>
  <c r="F222" i="6"/>
  <c r="J222" i="6" s="1"/>
  <c r="G222" i="6"/>
  <c r="D223" i="6"/>
  <c r="F223" i="6" s="1"/>
  <c r="E223" i="6"/>
  <c r="G223" i="6"/>
  <c r="D224" i="6"/>
  <c r="E224" i="6"/>
  <c r="F224" i="6" s="1"/>
  <c r="J224" i="6" s="1"/>
  <c r="G224" i="6"/>
  <c r="D225" i="6"/>
  <c r="E225" i="6"/>
  <c r="F225" i="6"/>
  <c r="H225" i="6" s="1"/>
  <c r="I225" i="6" s="1"/>
  <c r="G225" i="6"/>
  <c r="J225" i="6"/>
  <c r="D226" i="6"/>
  <c r="F226" i="6" s="1"/>
  <c r="E226" i="6"/>
  <c r="G226" i="6"/>
  <c r="D227" i="6"/>
  <c r="F227" i="6" s="1"/>
  <c r="E227" i="6"/>
  <c r="G227" i="6"/>
  <c r="H227" i="6"/>
  <c r="I227" i="6" s="1"/>
  <c r="J227" i="6"/>
  <c r="D228" i="6"/>
  <c r="E228" i="6"/>
  <c r="G228" i="6"/>
  <c r="D229" i="6"/>
  <c r="F229" i="6" s="1"/>
  <c r="E229" i="6"/>
  <c r="G229" i="6"/>
  <c r="D230" i="6"/>
  <c r="E230" i="6"/>
  <c r="G230" i="6"/>
  <c r="D231" i="6"/>
  <c r="E231" i="6"/>
  <c r="G231" i="6"/>
  <c r="D232" i="6"/>
  <c r="F232" i="6" s="1"/>
  <c r="E232" i="6"/>
  <c r="G232" i="6"/>
  <c r="D233" i="6"/>
  <c r="E233" i="6"/>
  <c r="F233" i="6"/>
  <c r="G233" i="6"/>
  <c r="D234" i="6"/>
  <c r="E234" i="6"/>
  <c r="F234" i="6" s="1"/>
  <c r="J234" i="6" s="1"/>
  <c r="G234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F8" i="4"/>
  <c r="G8" i="4" s="1"/>
  <c r="I8" i="4"/>
  <c r="F9" i="4"/>
  <c r="F10" i="4"/>
  <c r="G10" i="4"/>
  <c r="F11" i="4"/>
  <c r="G11" i="4"/>
  <c r="F12" i="4"/>
  <c r="G12" i="4"/>
  <c r="H12" i="4"/>
  <c r="I12" i="4"/>
  <c r="F13" i="4"/>
  <c r="G13" i="4"/>
  <c r="H13" i="4"/>
  <c r="I13" i="4"/>
  <c r="F14" i="4"/>
  <c r="G14" i="4"/>
  <c r="F15" i="4"/>
  <c r="F16" i="4"/>
  <c r="G16" i="4"/>
  <c r="H16" i="4"/>
  <c r="I16" i="4"/>
  <c r="F17" i="4"/>
  <c r="G17" i="4"/>
  <c r="F18" i="4"/>
  <c r="G18" i="4"/>
  <c r="H18" i="4"/>
  <c r="I18" i="4"/>
  <c r="F19" i="4"/>
  <c r="G19" i="4"/>
  <c r="H19" i="4"/>
  <c r="I19" i="4"/>
  <c r="F20" i="4"/>
  <c r="G20" i="4" s="1"/>
  <c r="H20" i="4"/>
  <c r="F21" i="4"/>
  <c r="H21" i="4" s="1"/>
  <c r="G21" i="4"/>
  <c r="I21" i="4"/>
  <c r="F22" i="4"/>
  <c r="I22" i="4" s="1"/>
  <c r="H22" i="4"/>
  <c r="F23" i="4"/>
  <c r="G23" i="4"/>
  <c r="F24" i="4"/>
  <c r="H24" i="4" s="1"/>
  <c r="G24" i="4"/>
  <c r="F25" i="4"/>
  <c r="G25" i="4"/>
  <c r="H25" i="4"/>
  <c r="I25" i="4"/>
  <c r="F26" i="4"/>
  <c r="H26" i="4" s="1"/>
  <c r="G26" i="4"/>
  <c r="F27" i="4"/>
  <c r="G27" i="4"/>
  <c r="H27" i="4"/>
  <c r="I27" i="4"/>
  <c r="F28" i="4"/>
  <c r="G28" i="4" s="1"/>
  <c r="H28" i="4"/>
  <c r="I28" i="4"/>
  <c r="F29" i="4"/>
  <c r="G29" i="4"/>
  <c r="F30" i="4"/>
  <c r="H30" i="4" s="1"/>
  <c r="G30" i="4"/>
  <c r="I30" i="4"/>
  <c r="F31" i="4"/>
  <c r="G31" i="4"/>
  <c r="H31" i="4"/>
  <c r="I31" i="4"/>
  <c r="F32" i="4"/>
  <c r="G32" i="4" s="1"/>
  <c r="H32" i="4"/>
  <c r="I32" i="4"/>
  <c r="F33" i="4"/>
  <c r="H33" i="4" s="1"/>
  <c r="F34" i="4"/>
  <c r="I34" i="4" s="1"/>
  <c r="G34" i="4"/>
  <c r="H34" i="4"/>
  <c r="F35" i="4"/>
  <c r="G35" i="4" s="1"/>
  <c r="H35" i="4"/>
  <c r="I35" i="4"/>
  <c r="F36" i="4"/>
  <c r="G36" i="4"/>
  <c r="F37" i="4"/>
  <c r="G37" i="4"/>
  <c r="H37" i="4"/>
  <c r="I37" i="4"/>
  <c r="F38" i="4"/>
  <c r="G38" i="4" s="1"/>
  <c r="H38" i="4"/>
  <c r="I38" i="4"/>
  <c r="F39" i="4"/>
  <c r="I39" i="4" s="1"/>
  <c r="G39" i="4"/>
  <c r="H39" i="4"/>
  <c r="F40" i="4"/>
  <c r="G40" i="4"/>
  <c r="H40" i="4"/>
  <c r="I40" i="4"/>
  <c r="F41" i="4"/>
  <c r="G41" i="4" s="1"/>
  <c r="H41" i="4"/>
  <c r="I41" i="4"/>
  <c r="F42" i="4"/>
  <c r="G42" i="4"/>
  <c r="F43" i="4"/>
  <c r="G43" i="4"/>
  <c r="H43" i="4"/>
  <c r="I43" i="4"/>
  <c r="F44" i="4"/>
  <c r="G44" i="4" s="1"/>
  <c r="H44" i="4"/>
  <c r="I44" i="4"/>
  <c r="F45" i="4"/>
  <c r="H45" i="4" s="1"/>
  <c r="G45" i="4"/>
  <c r="F46" i="4"/>
  <c r="I46" i="4" s="1"/>
  <c r="G46" i="4"/>
  <c r="H46" i="4"/>
  <c r="F47" i="4"/>
  <c r="G47" i="4"/>
  <c r="H47" i="4"/>
  <c r="I47" i="4"/>
  <c r="F48" i="4"/>
  <c r="G48" i="4" s="1"/>
  <c r="H48" i="4"/>
  <c r="I48" i="4"/>
  <c r="F49" i="4"/>
  <c r="G49" i="4"/>
  <c r="F50" i="4"/>
  <c r="G50" i="4"/>
  <c r="H50" i="4"/>
  <c r="I50" i="4"/>
  <c r="F51" i="4"/>
  <c r="H51" i="4" s="1"/>
  <c r="G51" i="4"/>
  <c r="F52" i="4"/>
  <c r="G52" i="4"/>
  <c r="H52" i="4"/>
  <c r="I52" i="4"/>
  <c r="F53" i="4"/>
  <c r="G53" i="4"/>
  <c r="H53" i="4"/>
  <c r="I53" i="4"/>
  <c r="F54" i="4"/>
  <c r="G54" i="4" s="1"/>
  <c r="H54" i="4"/>
  <c r="I54" i="4"/>
  <c r="F55" i="4"/>
  <c r="G55" i="4"/>
  <c r="H55" i="4"/>
  <c r="I55" i="4"/>
  <c r="F56" i="4"/>
  <c r="H56" i="4" s="1"/>
  <c r="F57" i="4"/>
  <c r="H57" i="4" s="1"/>
  <c r="G57" i="4"/>
  <c r="I57" i="4"/>
  <c r="F58" i="4"/>
  <c r="I58" i="4" s="1"/>
  <c r="G58" i="4"/>
  <c r="F59" i="4"/>
  <c r="G59" i="4"/>
  <c r="H59" i="4"/>
  <c r="I59" i="4"/>
  <c r="F60" i="4"/>
  <c r="G60" i="4"/>
  <c r="H60" i="4"/>
  <c r="I60" i="4"/>
  <c r="F61" i="4"/>
  <c r="G61" i="4" s="1"/>
  <c r="H61" i="4"/>
  <c r="I61" i="4"/>
  <c r="F62" i="4"/>
  <c r="G62" i="4"/>
  <c r="F63" i="4"/>
  <c r="G63" i="4" s="1"/>
  <c r="H63" i="4"/>
  <c r="I63" i="4"/>
  <c r="F64" i="4"/>
  <c r="H64" i="4" s="1"/>
  <c r="G64" i="4"/>
  <c r="F65" i="4"/>
  <c r="G65" i="4" s="1"/>
  <c r="H65" i="4"/>
  <c r="I65" i="4"/>
  <c r="F66" i="4"/>
  <c r="G66" i="4"/>
  <c r="H66" i="4"/>
  <c r="I66" i="4"/>
  <c r="F67" i="4"/>
  <c r="G67" i="4"/>
  <c r="H67" i="4"/>
  <c r="I67" i="4"/>
  <c r="F68" i="4"/>
  <c r="G68" i="4" s="1"/>
  <c r="I68" i="4"/>
  <c r="F69" i="4"/>
  <c r="G69" i="4"/>
  <c r="F70" i="4"/>
  <c r="I70" i="4" s="1"/>
  <c r="G70" i="4"/>
  <c r="H70" i="4"/>
  <c r="F71" i="4"/>
  <c r="H71" i="4"/>
  <c r="F72" i="4"/>
  <c r="G72" i="4"/>
  <c r="H72" i="4"/>
  <c r="I72" i="4"/>
  <c r="F73" i="4"/>
  <c r="G73" i="4"/>
  <c r="H73" i="4"/>
  <c r="I73" i="4"/>
  <c r="F74" i="4"/>
  <c r="G74" i="4" s="1"/>
  <c r="H74" i="4"/>
  <c r="I74" i="4"/>
  <c r="F75" i="4"/>
  <c r="G75" i="4" s="1"/>
  <c r="F76" i="4"/>
  <c r="G76" i="4"/>
  <c r="H76" i="4"/>
  <c r="I76" i="4"/>
  <c r="F77" i="4"/>
  <c r="H77" i="4"/>
  <c r="F78" i="4"/>
  <c r="G78" i="4"/>
  <c r="H78" i="4"/>
  <c r="I78" i="4"/>
  <c r="F79" i="4"/>
  <c r="G79" i="4"/>
  <c r="H79" i="4"/>
  <c r="I79" i="4"/>
  <c r="F80" i="4"/>
  <c r="G80" i="4" s="1"/>
  <c r="H80" i="4"/>
  <c r="I80" i="4"/>
  <c r="F81" i="4"/>
  <c r="H81" i="4" s="1"/>
  <c r="I81" i="4"/>
  <c r="F82" i="4"/>
  <c r="G82" i="4"/>
  <c r="F83" i="4"/>
  <c r="F84" i="4"/>
  <c r="G84" i="4"/>
  <c r="H84" i="4"/>
  <c r="I84" i="4"/>
  <c r="F85" i="4"/>
  <c r="G85" i="4"/>
  <c r="H85" i="4"/>
  <c r="I85" i="4"/>
  <c r="F86" i="4"/>
  <c r="G86" i="4"/>
  <c r="H86" i="4"/>
  <c r="I86" i="4"/>
  <c r="F87" i="4"/>
  <c r="G87" i="4" s="1"/>
  <c r="H87" i="4"/>
  <c r="I87" i="4"/>
  <c r="F88" i="4"/>
  <c r="G88" i="4"/>
  <c r="F89" i="4"/>
  <c r="G89" i="4"/>
  <c r="H89" i="4"/>
  <c r="I89" i="4"/>
  <c r="F90" i="4"/>
  <c r="G90" i="4"/>
  <c r="H90" i="4"/>
  <c r="I90" i="4"/>
  <c r="F91" i="4"/>
  <c r="G91" i="4"/>
  <c r="H91" i="4"/>
  <c r="I91" i="4"/>
  <c r="F92" i="4"/>
  <c r="G92" i="4" s="1"/>
  <c r="H92" i="4"/>
  <c r="I92" i="4"/>
  <c r="F93" i="4"/>
  <c r="G93" i="4"/>
  <c r="F94" i="4"/>
  <c r="I94" i="4" s="1"/>
  <c r="H94" i="4"/>
  <c r="F95" i="4"/>
  <c r="G95" i="4" s="1"/>
  <c r="F96" i="4"/>
  <c r="G96" i="4"/>
  <c r="H96" i="4"/>
  <c r="I96" i="4"/>
  <c r="F97" i="4"/>
  <c r="I97" i="4" s="1"/>
  <c r="G97" i="4"/>
  <c r="H97" i="4"/>
  <c r="F98" i="4"/>
  <c r="G98" i="4" s="1"/>
  <c r="H98" i="4"/>
  <c r="I98" i="4"/>
  <c r="F99" i="4"/>
  <c r="G99" i="4"/>
  <c r="H99" i="4"/>
  <c r="I99" i="4"/>
  <c r="F100" i="4"/>
  <c r="G100" i="4" s="1"/>
  <c r="H100" i="4"/>
  <c r="I100" i="4"/>
  <c r="F101" i="4"/>
  <c r="G101" i="4"/>
  <c r="F102" i="4"/>
  <c r="G102" i="4"/>
  <c r="H102" i="4"/>
  <c r="I102" i="4"/>
  <c r="F103" i="4"/>
  <c r="G103" i="4"/>
  <c r="H103" i="4"/>
  <c r="I103" i="4"/>
  <c r="F104" i="4"/>
  <c r="H104" i="4" s="1"/>
  <c r="F105" i="4"/>
  <c r="H105" i="4" s="1"/>
  <c r="G105" i="4"/>
  <c r="I105" i="4"/>
  <c r="F106" i="4"/>
  <c r="I106" i="4" s="1"/>
  <c r="G106" i="4"/>
  <c r="H106" i="4"/>
  <c r="F107" i="4"/>
  <c r="G107" i="4" s="1"/>
  <c r="H107" i="4"/>
  <c r="I107" i="4"/>
  <c r="F108" i="4"/>
  <c r="F109" i="4"/>
  <c r="G109" i="4" s="1"/>
  <c r="H109" i="4"/>
  <c r="I109" i="4"/>
  <c r="F110" i="4"/>
  <c r="G110" i="4"/>
  <c r="H110" i="4"/>
  <c r="I110" i="4"/>
  <c r="F111" i="4"/>
  <c r="F112" i="4"/>
  <c r="G112" i="4"/>
  <c r="H112" i="4"/>
  <c r="I112" i="4"/>
  <c r="F113" i="4"/>
  <c r="G113" i="4" s="1"/>
  <c r="H113" i="4"/>
  <c r="I113" i="4"/>
  <c r="F114" i="4"/>
  <c r="G114" i="4"/>
  <c r="H114" i="4"/>
  <c r="I114" i="4"/>
  <c r="F115" i="4"/>
  <c r="F116" i="4"/>
  <c r="G116" i="4"/>
  <c r="H116" i="4"/>
  <c r="I116" i="4"/>
  <c r="F117" i="4"/>
  <c r="G117" i="4" s="1"/>
  <c r="H117" i="4"/>
  <c r="I117" i="4"/>
  <c r="F118" i="4"/>
  <c r="I118" i="4"/>
  <c r="F119" i="4"/>
  <c r="G119" i="4"/>
  <c r="F120" i="4"/>
  <c r="I120" i="4" s="1"/>
  <c r="G120" i="4"/>
  <c r="H120" i="4"/>
  <c r="F121" i="4"/>
  <c r="I121" i="4" s="1"/>
  <c r="G121" i="4"/>
  <c r="F122" i="4"/>
  <c r="G122" i="4"/>
  <c r="H122" i="4"/>
  <c r="I122" i="4"/>
  <c r="F123" i="4"/>
  <c r="G123" i="4" s="1"/>
  <c r="H123" i="4"/>
  <c r="I123" i="4"/>
  <c r="F124" i="4"/>
  <c r="G124" i="4"/>
  <c r="H124" i="4"/>
  <c r="I124" i="4"/>
  <c r="F125" i="4"/>
  <c r="I125" i="4" s="1"/>
  <c r="H125" i="4"/>
  <c r="F126" i="4"/>
  <c r="G126" i="4"/>
  <c r="H126" i="4"/>
  <c r="I126" i="4"/>
  <c r="F127" i="4"/>
  <c r="G127" i="4" s="1"/>
  <c r="H127" i="4"/>
  <c r="I127" i="4"/>
  <c r="F128" i="4"/>
  <c r="G128" i="4"/>
  <c r="H128" i="4"/>
  <c r="I128" i="4"/>
  <c r="F129" i="4"/>
  <c r="G129" i="4" s="1"/>
  <c r="H129" i="4"/>
  <c r="I129" i="4"/>
  <c r="F130" i="4"/>
  <c r="I130" i="4" s="1"/>
  <c r="F131" i="4"/>
  <c r="I131" i="4" s="1"/>
  <c r="H131" i="4"/>
  <c r="F132" i="4"/>
  <c r="G132" i="4"/>
  <c r="H132" i="4"/>
  <c r="I132" i="4"/>
  <c r="F133" i="4"/>
  <c r="G133" i="4" s="1"/>
  <c r="I133" i="4"/>
  <c r="F134" i="4"/>
  <c r="G134" i="4"/>
  <c r="H134" i="4"/>
  <c r="I134" i="4"/>
  <c r="F135" i="4"/>
  <c r="F136" i="4"/>
  <c r="I136" i="4" s="1"/>
  <c r="G136" i="4"/>
  <c r="H136" i="4"/>
  <c r="F137" i="4"/>
  <c r="I137" i="4" s="1"/>
  <c r="H137" i="4"/>
  <c r="F138" i="4"/>
  <c r="G138" i="4" s="1"/>
  <c r="F139" i="4"/>
  <c r="G139" i="4" s="1"/>
  <c r="F140" i="4"/>
  <c r="G140" i="4"/>
  <c r="H140" i="4"/>
  <c r="I140" i="4"/>
  <c r="F141" i="4"/>
  <c r="G141" i="4" s="1"/>
  <c r="H141" i="4"/>
  <c r="I141" i="4"/>
  <c r="F142" i="4"/>
  <c r="F143" i="4"/>
  <c r="I143" i="4" s="1"/>
  <c r="F144" i="4"/>
  <c r="G144" i="4"/>
  <c r="H144" i="4"/>
  <c r="I144" i="4"/>
  <c r="F145" i="4"/>
  <c r="G145" i="4" s="1"/>
  <c r="H145" i="4"/>
  <c r="I145" i="4"/>
  <c r="F146" i="4"/>
  <c r="G146" i="4" s="1"/>
  <c r="I146" i="4"/>
  <c r="F147" i="4"/>
  <c r="G147" i="4"/>
  <c r="H147" i="4"/>
  <c r="I147" i="4"/>
  <c r="F148" i="4"/>
  <c r="F149" i="4"/>
  <c r="I149" i="4" s="1"/>
  <c r="G149" i="4"/>
  <c r="F150" i="4"/>
  <c r="G150" i="4"/>
  <c r="H150" i="4"/>
  <c r="I150" i="4"/>
  <c r="F151" i="4"/>
  <c r="G151" i="4"/>
  <c r="H151" i="4"/>
  <c r="I151" i="4"/>
  <c r="F152" i="4"/>
  <c r="G152" i="4"/>
  <c r="H152" i="4"/>
  <c r="I152" i="4"/>
  <c r="F153" i="4"/>
  <c r="G153" i="4" s="1"/>
  <c r="F154" i="4"/>
  <c r="H154" i="4" s="1"/>
  <c r="G154" i="4"/>
  <c r="I154" i="4"/>
  <c r="F155" i="4"/>
  <c r="F156" i="4"/>
  <c r="I156" i="4" s="1"/>
  <c r="G156" i="4"/>
  <c r="H156" i="4"/>
  <c r="F157" i="4"/>
  <c r="G157" i="4" s="1"/>
  <c r="H157" i="4"/>
  <c r="I157" i="4"/>
  <c r="F158" i="4"/>
  <c r="G158" i="4"/>
  <c r="H158" i="4"/>
  <c r="I158" i="4"/>
  <c r="F159" i="4"/>
  <c r="H159" i="4" s="1"/>
  <c r="G159" i="4"/>
  <c r="I159" i="4"/>
  <c r="F160" i="4"/>
  <c r="G160" i="4"/>
  <c r="H160" i="4"/>
  <c r="I160" i="4"/>
  <c r="F161" i="4"/>
  <c r="F162" i="4"/>
  <c r="I162" i="4" s="1"/>
  <c r="G162" i="4"/>
  <c r="H162" i="4"/>
  <c r="F163" i="4"/>
  <c r="G163" i="4"/>
  <c r="H163" i="4"/>
  <c r="I163" i="4"/>
  <c r="F164" i="4"/>
  <c r="G164" i="4"/>
  <c r="H164" i="4"/>
  <c r="I164" i="4"/>
  <c r="F165" i="4"/>
  <c r="G165" i="4" s="1"/>
  <c r="F166" i="4"/>
  <c r="G166" i="4" s="1"/>
  <c r="F167" i="4"/>
  <c r="G167" i="4"/>
  <c r="H167" i="4"/>
  <c r="I167" i="4"/>
  <c r="F168" i="4"/>
  <c r="G168" i="4"/>
  <c r="H168" i="4"/>
  <c r="I168" i="4"/>
  <c r="F169" i="4"/>
  <c r="G169" i="4"/>
  <c r="H169" i="4"/>
  <c r="I169" i="4"/>
  <c r="F170" i="4"/>
  <c r="F171" i="4"/>
  <c r="G171" i="4"/>
  <c r="F172" i="4"/>
  <c r="I172" i="4" s="1"/>
  <c r="G172" i="4"/>
  <c r="F173" i="4"/>
  <c r="G173" i="4" s="1"/>
  <c r="F174" i="4"/>
  <c r="G174" i="4"/>
  <c r="H174" i="4"/>
  <c r="I174" i="4"/>
  <c r="F175" i="4"/>
  <c r="H175" i="4" s="1"/>
  <c r="G175" i="4"/>
  <c r="I175" i="4"/>
  <c r="F176" i="4"/>
  <c r="G176" i="4" s="1"/>
  <c r="F177" i="4"/>
  <c r="G177" i="4"/>
  <c r="H177" i="4"/>
  <c r="I177" i="4"/>
  <c r="F178" i="4"/>
  <c r="H178" i="4" s="1"/>
  <c r="G178" i="4"/>
  <c r="I178" i="4"/>
  <c r="F179" i="4"/>
  <c r="G179" i="4"/>
  <c r="H179" i="4"/>
  <c r="I179" i="4"/>
  <c r="F180" i="4"/>
  <c r="G180" i="4"/>
  <c r="H180" i="4"/>
  <c r="I180" i="4"/>
  <c r="F181" i="4"/>
  <c r="G181" i="4"/>
  <c r="H181" i="4"/>
  <c r="I181" i="4"/>
  <c r="F182" i="4"/>
  <c r="F183" i="4"/>
  <c r="G183" i="4" s="1"/>
  <c r="F184" i="4"/>
  <c r="I184" i="4" s="1"/>
  <c r="G184" i="4"/>
  <c r="H184" i="4"/>
  <c r="F185" i="4"/>
  <c r="G185" i="4" s="1"/>
  <c r="H185" i="4"/>
  <c r="I185" i="4"/>
  <c r="F186" i="4"/>
  <c r="I186" i="4" s="1"/>
  <c r="H186" i="4"/>
  <c r="F187" i="4"/>
  <c r="G187" i="4" s="1"/>
  <c r="H187" i="4"/>
  <c r="I187" i="4"/>
  <c r="F188" i="4"/>
  <c r="G188" i="4" s="1"/>
  <c r="H188" i="4"/>
  <c r="I188" i="4"/>
  <c r="F189" i="4"/>
  <c r="I189" i="4" s="1"/>
  <c r="H189" i="4"/>
  <c r="F190" i="4"/>
  <c r="G190" i="4"/>
  <c r="H190" i="4"/>
  <c r="I190" i="4"/>
  <c r="F191" i="4"/>
  <c r="I191" i="4" s="1"/>
  <c r="G191" i="4"/>
  <c r="H191" i="4"/>
  <c r="F192" i="4"/>
  <c r="G192" i="4"/>
  <c r="H192" i="4"/>
  <c r="I192" i="4"/>
  <c r="F193" i="4"/>
  <c r="G193" i="4"/>
  <c r="H193" i="4"/>
  <c r="I193" i="4"/>
  <c r="F194" i="4"/>
  <c r="F195" i="4"/>
  <c r="G195" i="4"/>
  <c r="F196" i="4"/>
  <c r="I196" i="4" s="1"/>
  <c r="H196" i="4"/>
  <c r="F197" i="4"/>
  <c r="G197" i="4"/>
  <c r="H197" i="4"/>
  <c r="I197" i="4"/>
  <c r="F198" i="4"/>
  <c r="G198" i="4" s="1"/>
  <c r="F199" i="4"/>
  <c r="H199" i="4" s="1"/>
  <c r="G199" i="4"/>
  <c r="I199" i="4"/>
  <c r="F200" i="4"/>
  <c r="G200" i="4" s="1"/>
  <c r="H200" i="4"/>
  <c r="I200" i="4"/>
  <c r="F201" i="4"/>
  <c r="G201" i="4"/>
  <c r="H201" i="4"/>
  <c r="I201" i="4"/>
  <c r="F202" i="4"/>
  <c r="G202" i="4" s="1"/>
  <c r="F203" i="4"/>
  <c r="H203" i="4" s="1"/>
  <c r="G203" i="4"/>
  <c r="I203" i="4"/>
  <c r="F204" i="4"/>
  <c r="G204" i="4"/>
  <c r="H204" i="4"/>
  <c r="I204" i="4"/>
  <c r="F205" i="4"/>
  <c r="G205" i="4"/>
  <c r="H205" i="4"/>
  <c r="I205" i="4"/>
  <c r="F206" i="4"/>
  <c r="I206" i="4" s="1"/>
  <c r="F207" i="4"/>
  <c r="G207" i="4" s="1"/>
  <c r="F208" i="4"/>
  <c r="I208" i="4" s="1"/>
  <c r="G208" i="4"/>
  <c r="F209" i="4"/>
  <c r="G209" i="4"/>
  <c r="H209" i="4"/>
  <c r="I209" i="4"/>
  <c r="F210" i="4"/>
  <c r="G210" i="4" s="1"/>
  <c r="F211" i="4"/>
  <c r="G211" i="4" s="1"/>
  <c r="H211" i="4"/>
  <c r="I211" i="4"/>
  <c r="F212" i="4"/>
  <c r="G212" i="4" s="1"/>
  <c r="F213" i="4"/>
  <c r="I213" i="4" s="1"/>
  <c r="H213" i="4"/>
  <c r="F214" i="4"/>
  <c r="G214" i="4"/>
  <c r="H214" i="4"/>
  <c r="I214" i="4"/>
  <c r="F215" i="4"/>
  <c r="G215" i="4" s="1"/>
  <c r="H215" i="4"/>
  <c r="I215" i="4"/>
  <c r="F216" i="4"/>
  <c r="H216" i="4" s="1"/>
  <c r="G216" i="4"/>
  <c r="F217" i="4"/>
  <c r="G217" i="4"/>
  <c r="H217" i="4"/>
  <c r="I217" i="4"/>
  <c r="F218" i="4"/>
  <c r="G218" i="4" s="1"/>
  <c r="I218" i="4"/>
  <c r="F219" i="4"/>
  <c r="H219" i="4" s="1"/>
  <c r="F220" i="4"/>
  <c r="I220" i="4" s="1"/>
  <c r="H220" i="4"/>
  <c r="F221" i="4"/>
  <c r="G221" i="4"/>
  <c r="H221" i="4"/>
  <c r="I221" i="4"/>
  <c r="F222" i="4"/>
  <c r="G222" i="4" s="1"/>
  <c r="I222" i="4"/>
  <c r="F223" i="4"/>
  <c r="H223" i="4" s="1"/>
  <c r="G223" i="4"/>
  <c r="F224" i="4"/>
  <c r="G224" i="4" s="1"/>
  <c r="H224" i="4"/>
  <c r="I224" i="4"/>
  <c r="F225" i="4"/>
  <c r="G225" i="4" s="1"/>
  <c r="F226" i="4"/>
  <c r="I226" i="4" s="1"/>
  <c r="H226" i="4"/>
  <c r="F227" i="4"/>
  <c r="G227" i="4"/>
  <c r="H227" i="4"/>
  <c r="I227" i="4"/>
  <c r="F228" i="4"/>
  <c r="G228" i="4"/>
  <c r="H228" i="4"/>
  <c r="I228" i="4"/>
  <c r="F229" i="4"/>
  <c r="G229" i="4"/>
  <c r="H229" i="4"/>
  <c r="I229" i="4"/>
  <c r="F230" i="4"/>
  <c r="G230" i="4" s="1"/>
  <c r="H230" i="4"/>
  <c r="I230" i="4"/>
  <c r="F231" i="4"/>
  <c r="H231" i="4" s="1"/>
  <c r="I231" i="4"/>
  <c r="F232" i="4"/>
  <c r="I232" i="4" s="1"/>
  <c r="F233" i="4"/>
  <c r="I233" i="4" s="1"/>
  <c r="H233" i="4"/>
  <c r="F234" i="4"/>
  <c r="G234" i="4"/>
  <c r="H234" i="4"/>
  <c r="I234" i="4"/>
  <c r="F235" i="4"/>
  <c r="G235" i="4" s="1"/>
  <c r="I235" i="4"/>
  <c r="F236" i="4"/>
  <c r="I236" i="4" s="1"/>
  <c r="G236" i="4"/>
  <c r="H236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Q2" i="4"/>
  <c r="J2" i="4"/>
  <c r="J1" i="4"/>
  <c r="L105" i="1" l="1"/>
  <c r="L124" i="1"/>
  <c r="L176" i="1"/>
  <c r="M176" i="1" s="1"/>
  <c r="L171" i="1"/>
  <c r="L227" i="1"/>
  <c r="L50" i="1"/>
  <c r="L8" i="1"/>
  <c r="L148" i="1"/>
  <c r="L164" i="1"/>
  <c r="M164" i="1" s="1"/>
  <c r="L93" i="1"/>
  <c r="L195" i="1"/>
  <c r="M195" i="1" s="1"/>
  <c r="L153" i="1"/>
  <c r="M153" i="1" s="1"/>
  <c r="N153" i="1" s="1"/>
  <c r="O153" i="1" s="1"/>
  <c r="L17" i="1"/>
  <c r="L62" i="1"/>
  <c r="L40" i="1"/>
  <c r="L197" i="1"/>
  <c r="M197" i="1" s="1"/>
  <c r="N197" i="1" s="1"/>
  <c r="O197" i="1" s="1"/>
  <c r="P197" i="1" s="1"/>
  <c r="Q197" i="1" s="1"/>
  <c r="L154" i="1"/>
  <c r="M154" i="1" s="1"/>
  <c r="N154" i="1" s="1"/>
  <c r="O154" i="1" s="1"/>
  <c r="L11" i="1"/>
  <c r="L9" i="1"/>
  <c r="L7" i="1"/>
  <c r="N7" i="1" s="1"/>
  <c r="O7" i="1" s="1"/>
  <c r="D8" i="4" s="1"/>
  <c r="L156" i="1"/>
  <c r="L142" i="1"/>
  <c r="M142" i="1" s="1"/>
  <c r="L104" i="1"/>
  <c r="L100" i="1"/>
  <c r="M100" i="1" s="1"/>
  <c r="L98" i="1"/>
  <c r="K59" i="1"/>
  <c r="L39" i="1"/>
  <c r="M39" i="1" s="1"/>
  <c r="K35" i="1"/>
  <c r="K16" i="1"/>
  <c r="L126" i="1"/>
  <c r="M126" i="1" s="1"/>
  <c r="N126" i="1" s="1"/>
  <c r="O126" i="1" s="1"/>
  <c r="L122" i="1"/>
  <c r="M122" i="1" s="1"/>
  <c r="N122" i="1" s="1"/>
  <c r="O122" i="1" s="1"/>
  <c r="L120" i="1"/>
  <c r="M120" i="1" s="1"/>
  <c r="K118" i="1"/>
  <c r="L201" i="1"/>
  <c r="M201" i="1" s="1"/>
  <c r="N201" i="1" s="1"/>
  <c r="O201" i="1" s="1"/>
  <c r="L159" i="1"/>
  <c r="M159" i="1" s="1"/>
  <c r="L211" i="1"/>
  <c r="M211" i="1" s="1"/>
  <c r="L91" i="1"/>
  <c r="M91" i="1" s="1"/>
  <c r="L89" i="1"/>
  <c r="L65" i="1"/>
  <c r="L58" i="1"/>
  <c r="L45" i="1"/>
  <c r="M45" i="1" s="1"/>
  <c r="L41" i="1"/>
  <c r="M41" i="1" s="1"/>
  <c r="L146" i="1"/>
  <c r="M146" i="1" s="1"/>
  <c r="K209" i="1"/>
  <c r="M17" i="1"/>
  <c r="N17" i="1" s="1"/>
  <c r="O17" i="1" s="1"/>
  <c r="L130" i="1"/>
  <c r="M130" i="1" s="1"/>
  <c r="N130" i="1" s="1"/>
  <c r="O130" i="1" s="1"/>
  <c r="L224" i="1"/>
  <c r="M224" i="1" s="1"/>
  <c r="L99" i="1"/>
  <c r="L21" i="1"/>
  <c r="L143" i="1"/>
  <c r="L189" i="1"/>
  <c r="M189" i="1" s="1"/>
  <c r="L158" i="1"/>
  <c r="M158" i="1" s="1"/>
  <c r="N158" i="1" s="1"/>
  <c r="O158" i="1" s="1"/>
  <c r="L210" i="1"/>
  <c r="M210" i="1" s="1"/>
  <c r="M105" i="1"/>
  <c r="M217" i="1"/>
  <c r="N165" i="1"/>
  <c r="O165" i="1" s="1"/>
  <c r="D166" i="4" s="1"/>
  <c r="L55" i="1"/>
  <c r="M55" i="1" s="1"/>
  <c r="N55" i="1" s="1"/>
  <c r="O55" i="1" s="1"/>
  <c r="L53" i="1"/>
  <c r="N53" i="1" s="1"/>
  <c r="O53" i="1" s="1"/>
  <c r="L46" i="1"/>
  <c r="M46" i="1" s="1"/>
  <c r="L35" i="1"/>
  <c r="L33" i="1"/>
  <c r="L29" i="1"/>
  <c r="M29" i="1" s="1"/>
  <c r="N29" i="1" s="1"/>
  <c r="O29" i="1" s="1"/>
  <c r="L16" i="1"/>
  <c r="M16" i="1" s="1"/>
  <c r="L136" i="1"/>
  <c r="L118" i="1"/>
  <c r="M118" i="1" s="1"/>
  <c r="N118" i="1" s="1"/>
  <c r="O118" i="1" s="1"/>
  <c r="L228" i="1"/>
  <c r="M228" i="1" s="1"/>
  <c r="N228" i="1" s="1"/>
  <c r="O228" i="1" s="1"/>
  <c r="K215" i="1"/>
  <c r="K62" i="1"/>
  <c r="K38" i="1"/>
  <c r="K25" i="1"/>
  <c r="K143" i="1"/>
  <c r="K132" i="1"/>
  <c r="K121" i="1"/>
  <c r="K193" i="1"/>
  <c r="K226" i="1"/>
  <c r="K210" i="1"/>
  <c r="K228" i="1"/>
  <c r="L111" i="1"/>
  <c r="M111" i="1" s="1"/>
  <c r="K107" i="1"/>
  <c r="K64" i="1"/>
  <c r="K40" i="1"/>
  <c r="K27" i="1"/>
  <c r="K145" i="1"/>
  <c r="K195" i="1"/>
  <c r="L190" i="1"/>
  <c r="M190" i="1" s="1"/>
  <c r="L173" i="1"/>
  <c r="M173" i="1" s="1"/>
  <c r="K171" i="1"/>
  <c r="K160" i="1"/>
  <c r="L216" i="1"/>
  <c r="M216" i="1" s="1"/>
  <c r="L57" i="1"/>
  <c r="K184" i="1"/>
  <c r="L177" i="1"/>
  <c r="M177" i="1" s="1"/>
  <c r="L175" i="1"/>
  <c r="N175" i="1" s="1"/>
  <c r="O175" i="1" s="1"/>
  <c r="K169" i="1"/>
  <c r="K235" i="1"/>
  <c r="K214" i="1"/>
  <c r="N78" i="1"/>
  <c r="O78" i="1" s="1"/>
  <c r="P78" i="1" s="1"/>
  <c r="Q78" i="1" s="1"/>
  <c r="L76" i="1"/>
  <c r="M76" i="1" s="1"/>
  <c r="L63" i="1"/>
  <c r="M63" i="1" s="1"/>
  <c r="L20" i="1"/>
  <c r="M20" i="1" s="1"/>
  <c r="K146" i="1"/>
  <c r="N146" i="1" s="1"/>
  <c r="O146" i="1" s="1"/>
  <c r="L139" i="1"/>
  <c r="M139" i="1" s="1"/>
  <c r="K122" i="1"/>
  <c r="L115" i="1"/>
  <c r="M115" i="1" s="1"/>
  <c r="L234" i="1"/>
  <c r="M234" i="1" s="1"/>
  <c r="N234" i="1" s="1"/>
  <c r="O234" i="1" s="1"/>
  <c r="L87" i="1"/>
  <c r="M87" i="1" s="1"/>
  <c r="L71" i="1"/>
  <c r="M71" i="1" s="1"/>
  <c r="L69" i="1"/>
  <c r="M69" i="1" s="1"/>
  <c r="N151" i="1"/>
  <c r="O151" i="1" s="1"/>
  <c r="L166" i="1"/>
  <c r="M166" i="1" s="1"/>
  <c r="K224" i="1"/>
  <c r="K216" i="1"/>
  <c r="M99" i="1"/>
  <c r="M58" i="1"/>
  <c r="N58" i="1" s="1"/>
  <c r="O58" i="1" s="1"/>
  <c r="M52" i="1"/>
  <c r="N52" i="1" s="1"/>
  <c r="O52" i="1" s="1"/>
  <c r="M9" i="1"/>
  <c r="M7" i="1"/>
  <c r="M138" i="1"/>
  <c r="N138" i="1" s="1"/>
  <c r="O138" i="1" s="1"/>
  <c r="M134" i="1"/>
  <c r="L114" i="1"/>
  <c r="M114" i="1" s="1"/>
  <c r="L204" i="1"/>
  <c r="M204" i="1" s="1"/>
  <c r="L202" i="1"/>
  <c r="M202" i="1" s="1"/>
  <c r="L193" i="1"/>
  <c r="M193" i="1" s="1"/>
  <c r="N193" i="1" s="1"/>
  <c r="O193" i="1" s="1"/>
  <c r="L191" i="1"/>
  <c r="K188" i="1"/>
  <c r="L155" i="1"/>
  <c r="M155" i="1" s="1"/>
  <c r="L215" i="1"/>
  <c r="M215" i="1" s="1"/>
  <c r="L145" i="1"/>
  <c r="M145" i="1" s="1"/>
  <c r="L75" i="1"/>
  <c r="M75" i="1" s="1"/>
  <c r="L151" i="1"/>
  <c r="M151" i="1" s="1"/>
  <c r="L131" i="1"/>
  <c r="M131" i="1" s="1"/>
  <c r="K200" i="1"/>
  <c r="N200" i="1" s="1"/>
  <c r="O200" i="1" s="1"/>
  <c r="L178" i="1"/>
  <c r="M178" i="1" s="1"/>
  <c r="K164" i="1"/>
  <c r="M227" i="1"/>
  <c r="N227" i="1" s="1"/>
  <c r="O227" i="1" s="1"/>
  <c r="L109" i="1"/>
  <c r="M109" i="1" s="1"/>
  <c r="L101" i="1"/>
  <c r="M101" i="1" s="1"/>
  <c r="N101" i="1" s="1"/>
  <c r="O101" i="1" s="1"/>
  <c r="L19" i="1"/>
  <c r="M19" i="1" s="1"/>
  <c r="L15" i="1"/>
  <c r="M15" i="1" s="1"/>
  <c r="K134" i="1"/>
  <c r="L83" i="1"/>
  <c r="L77" i="1"/>
  <c r="M77" i="1" s="1"/>
  <c r="L64" i="1"/>
  <c r="M64" i="1" s="1"/>
  <c r="L51" i="1"/>
  <c r="M51" i="1" s="1"/>
  <c r="L38" i="1"/>
  <c r="M38" i="1" s="1"/>
  <c r="L25" i="1"/>
  <c r="M25" i="1" s="1"/>
  <c r="L150" i="1"/>
  <c r="M150" i="1" s="1"/>
  <c r="L169" i="1"/>
  <c r="M169" i="1" s="1"/>
  <c r="L167" i="1"/>
  <c r="M167" i="1" s="1"/>
  <c r="L229" i="1"/>
  <c r="M229" i="1" s="1"/>
  <c r="M93" i="1"/>
  <c r="N93" i="1" s="1"/>
  <c r="O93" i="1" s="1"/>
  <c r="M40" i="1"/>
  <c r="M8" i="1"/>
  <c r="N8" i="1" s="1"/>
  <c r="O8" i="1" s="1"/>
  <c r="P8" i="1" s="1"/>
  <c r="Q8" i="1" s="1"/>
  <c r="L220" i="1"/>
  <c r="M220" i="1" s="1"/>
  <c r="L218" i="1"/>
  <c r="M218" i="1" s="1"/>
  <c r="M35" i="1"/>
  <c r="N35" i="1" s="1"/>
  <c r="O35" i="1" s="1"/>
  <c r="M33" i="1"/>
  <c r="L133" i="1"/>
  <c r="M133" i="1" s="1"/>
  <c r="L196" i="1"/>
  <c r="M196" i="1" s="1"/>
  <c r="K176" i="1"/>
  <c r="N176" i="1" s="1"/>
  <c r="O176" i="1" s="1"/>
  <c r="L214" i="1"/>
  <c r="M214" i="1" s="1"/>
  <c r="L107" i="1"/>
  <c r="M107" i="1" s="1"/>
  <c r="L103" i="1"/>
  <c r="M98" i="1"/>
  <c r="N98" i="1" s="1"/>
  <c r="O98" i="1" s="1"/>
  <c r="M62" i="1"/>
  <c r="L26" i="1"/>
  <c r="M26" i="1" s="1"/>
  <c r="N26" i="1" s="1"/>
  <c r="O26" i="1" s="1"/>
  <c r="L18" i="1"/>
  <c r="M18" i="1" s="1"/>
  <c r="L10" i="1"/>
  <c r="M10" i="1" s="1"/>
  <c r="L129" i="1"/>
  <c r="M129" i="1" s="1"/>
  <c r="L194" i="1"/>
  <c r="M194" i="1" s="1"/>
  <c r="L192" i="1"/>
  <c r="M192" i="1" s="1"/>
  <c r="L184" i="1"/>
  <c r="M184" i="1" s="1"/>
  <c r="N47" i="1"/>
  <c r="O47" i="1" s="1"/>
  <c r="N91" i="1"/>
  <c r="O91" i="1" s="1"/>
  <c r="L74" i="1"/>
  <c r="M74" i="1" s="1"/>
  <c r="L59" i="1"/>
  <c r="M59" i="1" s="1"/>
  <c r="L47" i="1"/>
  <c r="M47" i="1" s="1"/>
  <c r="L12" i="1"/>
  <c r="M12" i="1" s="1"/>
  <c r="L152" i="1"/>
  <c r="M152" i="1" s="1"/>
  <c r="N132" i="1"/>
  <c r="O132" i="1" s="1"/>
  <c r="P132" i="1" s="1"/>
  <c r="Q132" i="1" s="1"/>
  <c r="L125" i="1"/>
  <c r="L123" i="1"/>
  <c r="M123" i="1" s="1"/>
  <c r="L116" i="1"/>
  <c r="M116" i="1" s="1"/>
  <c r="N204" i="1"/>
  <c r="O204" i="1" s="1"/>
  <c r="D205" i="4" s="1"/>
  <c r="J205" i="4" s="1"/>
  <c r="L157" i="1"/>
  <c r="M157" i="1" s="1"/>
  <c r="L222" i="1"/>
  <c r="M222" i="1" s="1"/>
  <c r="L212" i="1"/>
  <c r="M212" i="1" s="1"/>
  <c r="M65" i="1"/>
  <c r="N65" i="1" s="1"/>
  <c r="O65" i="1" s="1"/>
  <c r="M53" i="1"/>
  <c r="N33" i="1"/>
  <c r="O33" i="1" s="1"/>
  <c r="P33" i="1" s="1"/>
  <c r="Q33" i="1" s="1"/>
  <c r="M21" i="1"/>
  <c r="N21" i="1" s="1"/>
  <c r="O21" i="1" s="1"/>
  <c r="L162" i="1"/>
  <c r="M162" i="1" s="1"/>
  <c r="N100" i="1"/>
  <c r="O100" i="1" s="1"/>
  <c r="D101" i="4" s="1"/>
  <c r="L67" i="1"/>
  <c r="M67" i="1" s="1"/>
  <c r="N67" i="1" s="1"/>
  <c r="O67" i="1" s="1"/>
  <c r="L61" i="1"/>
  <c r="M61" i="1" s="1"/>
  <c r="L23" i="1"/>
  <c r="M23" i="1" s="1"/>
  <c r="M14" i="1"/>
  <c r="M144" i="1"/>
  <c r="N144" i="1" s="1"/>
  <c r="O144" i="1" s="1"/>
  <c r="N134" i="1"/>
  <c r="O134" i="1" s="1"/>
  <c r="D135" i="4" s="1"/>
  <c r="L127" i="1"/>
  <c r="M127" i="1" s="1"/>
  <c r="L121" i="1"/>
  <c r="M121" i="1" s="1"/>
  <c r="L174" i="1"/>
  <c r="M174" i="1" s="1"/>
  <c r="M171" i="1"/>
  <c r="N171" i="1" s="1"/>
  <c r="O171" i="1" s="1"/>
  <c r="L80" i="1"/>
  <c r="M80" i="1" s="1"/>
  <c r="L43" i="1"/>
  <c r="L31" i="1"/>
  <c r="N28" i="1"/>
  <c r="O28" i="1" s="1"/>
  <c r="L141" i="1"/>
  <c r="M141" i="1" s="1"/>
  <c r="L181" i="1"/>
  <c r="M181" i="1" s="1"/>
  <c r="L179" i="1"/>
  <c r="M179" i="1" s="1"/>
  <c r="L232" i="1"/>
  <c r="M232" i="1" s="1"/>
  <c r="L230" i="1"/>
  <c r="M230" i="1" s="1"/>
  <c r="L209" i="1"/>
  <c r="M209" i="1" s="1"/>
  <c r="L207" i="1"/>
  <c r="M207" i="1" s="1"/>
  <c r="N152" i="1"/>
  <c r="O152" i="1" s="1"/>
  <c r="D153" i="4" s="1"/>
  <c r="L137" i="1"/>
  <c r="M137" i="1" s="1"/>
  <c r="N137" i="1" s="1"/>
  <c r="O137" i="1" s="1"/>
  <c r="L135" i="1"/>
  <c r="M135" i="1" s="1"/>
  <c r="L128" i="1"/>
  <c r="M128" i="1" s="1"/>
  <c r="L186" i="1"/>
  <c r="M186" i="1" s="1"/>
  <c r="L183" i="1"/>
  <c r="M183" i="1" s="1"/>
  <c r="L163" i="1"/>
  <c r="M163" i="1" s="1"/>
  <c r="M84" i="1"/>
  <c r="N84" i="1" s="1"/>
  <c r="O84" i="1" s="1"/>
  <c r="M11" i="1"/>
  <c r="N11" i="1" s="1"/>
  <c r="O11" i="1" s="1"/>
  <c r="M143" i="1"/>
  <c r="M175" i="1"/>
  <c r="N159" i="1"/>
  <c r="O159" i="1" s="1"/>
  <c r="P159" i="1" s="1"/>
  <c r="Q159" i="1" s="1"/>
  <c r="N23" i="1"/>
  <c r="O23" i="1" s="1"/>
  <c r="N188" i="1"/>
  <c r="O188" i="1" s="1"/>
  <c r="D189" i="4" s="1"/>
  <c r="J189" i="4" s="1"/>
  <c r="M102" i="1"/>
  <c r="N102" i="1" s="1"/>
  <c r="O102" i="1" s="1"/>
  <c r="P102" i="1" s="1"/>
  <c r="Q102" i="1" s="1"/>
  <c r="L96" i="1"/>
  <c r="L90" i="1"/>
  <c r="M90" i="1" s="1"/>
  <c r="N90" i="1" s="1"/>
  <c r="O90" i="1" s="1"/>
  <c r="N88" i="1"/>
  <c r="O88" i="1" s="1"/>
  <c r="L60" i="1"/>
  <c r="L56" i="1"/>
  <c r="M56" i="1" s="1"/>
  <c r="L48" i="1"/>
  <c r="M48" i="1" s="1"/>
  <c r="L34" i="1"/>
  <c r="M34" i="1" s="1"/>
  <c r="N22" i="1"/>
  <c r="O22" i="1" s="1"/>
  <c r="P22" i="1" s="1"/>
  <c r="Q22" i="1" s="1"/>
  <c r="L117" i="1"/>
  <c r="M117" i="1" s="1"/>
  <c r="L205" i="1"/>
  <c r="M205" i="1" s="1"/>
  <c r="L203" i="1"/>
  <c r="M203" i="1" s="1"/>
  <c r="L187" i="1"/>
  <c r="M187" i="1" s="1"/>
  <c r="L170" i="1"/>
  <c r="M170" i="1" s="1"/>
  <c r="L168" i="1"/>
  <c r="M168" i="1" s="1"/>
  <c r="N161" i="1"/>
  <c r="O161" i="1" s="1"/>
  <c r="P161" i="1" s="1"/>
  <c r="Q161" i="1" s="1"/>
  <c r="L226" i="1"/>
  <c r="M226" i="1" s="1"/>
  <c r="L223" i="1"/>
  <c r="M223" i="1" s="1"/>
  <c r="L221" i="1"/>
  <c r="M221" i="1" s="1"/>
  <c r="L219" i="1"/>
  <c r="M219" i="1" s="1"/>
  <c r="L213" i="1"/>
  <c r="M213" i="1" s="1"/>
  <c r="L72" i="1"/>
  <c r="M72" i="1" s="1"/>
  <c r="N72" i="1" s="1"/>
  <c r="O72" i="1" s="1"/>
  <c r="L68" i="1"/>
  <c r="M68" i="1" s="1"/>
  <c r="L66" i="1"/>
  <c r="M66" i="1" s="1"/>
  <c r="L54" i="1"/>
  <c r="M54" i="1" s="1"/>
  <c r="L44" i="1"/>
  <c r="M44" i="1" s="1"/>
  <c r="L36" i="1"/>
  <c r="M36" i="1" s="1"/>
  <c r="L32" i="1"/>
  <c r="M32" i="1" s="1"/>
  <c r="L22" i="1"/>
  <c r="M22" i="1" s="1"/>
  <c r="L149" i="1"/>
  <c r="M149" i="1" s="1"/>
  <c r="N149" i="1" s="1"/>
  <c r="O149" i="1" s="1"/>
  <c r="L147" i="1"/>
  <c r="M147" i="1" s="1"/>
  <c r="L140" i="1"/>
  <c r="M140" i="1" s="1"/>
  <c r="N128" i="1"/>
  <c r="O128" i="1" s="1"/>
  <c r="D129" i="4" s="1"/>
  <c r="J129" i="4" s="1"/>
  <c r="L113" i="1"/>
  <c r="M113" i="1" s="1"/>
  <c r="N113" i="1" s="1"/>
  <c r="O113" i="1" s="1"/>
  <c r="L185" i="1"/>
  <c r="M185" i="1" s="1"/>
  <c r="N166" i="1"/>
  <c r="O166" i="1" s="1"/>
  <c r="P166" i="1" s="1"/>
  <c r="Q166" i="1" s="1"/>
  <c r="L160" i="1"/>
  <c r="M160" i="1" s="1"/>
  <c r="L81" i="1"/>
  <c r="M81" i="1" s="1"/>
  <c r="L79" i="1"/>
  <c r="M79" i="1" s="1"/>
  <c r="L42" i="1"/>
  <c r="M42" i="1" s="1"/>
  <c r="L30" i="1"/>
  <c r="M30" i="1" s="1"/>
  <c r="L24" i="1"/>
  <c r="M24" i="1" s="1"/>
  <c r="N143" i="1"/>
  <c r="O143" i="1" s="1"/>
  <c r="P143" i="1" s="1"/>
  <c r="Q143" i="1" s="1"/>
  <c r="L119" i="1"/>
  <c r="M119" i="1" s="1"/>
  <c r="L199" i="1"/>
  <c r="M199" i="1" s="1"/>
  <c r="L182" i="1"/>
  <c r="M182" i="1" s="1"/>
  <c r="L180" i="1"/>
  <c r="M180" i="1" s="1"/>
  <c r="L172" i="1"/>
  <c r="M172" i="1" s="1"/>
  <c r="L235" i="1"/>
  <c r="M235" i="1" s="1"/>
  <c r="L233" i="1"/>
  <c r="M233" i="1" s="1"/>
  <c r="L231" i="1"/>
  <c r="M231" i="1" s="1"/>
  <c r="L225" i="1"/>
  <c r="M225" i="1" s="1"/>
  <c r="N211" i="1"/>
  <c r="O211" i="1" s="1"/>
  <c r="P211" i="1" s="1"/>
  <c r="Q211" i="1" s="1"/>
  <c r="L208" i="1"/>
  <c r="M208" i="1" s="1"/>
  <c r="L206" i="1"/>
  <c r="M206" i="1" s="1"/>
  <c r="N105" i="1"/>
  <c r="O105" i="1" s="1"/>
  <c r="P105" i="1" s="1"/>
  <c r="Q105" i="1" s="1"/>
  <c r="N27" i="1"/>
  <c r="O27" i="1" s="1"/>
  <c r="N195" i="1"/>
  <c r="O195" i="1" s="1"/>
  <c r="P195" i="1" s="1"/>
  <c r="Q195" i="1" s="1"/>
  <c r="N230" i="1"/>
  <c r="O230" i="1" s="1"/>
  <c r="N231" i="1"/>
  <c r="O231" i="1" s="1"/>
  <c r="N217" i="1"/>
  <c r="O217" i="1" s="1"/>
  <c r="N212" i="1"/>
  <c r="O212" i="1" s="1"/>
  <c r="N210" i="1"/>
  <c r="O210" i="1" s="1"/>
  <c r="N222" i="1"/>
  <c r="O222" i="1" s="1"/>
  <c r="N205" i="1"/>
  <c r="O205" i="1" s="1"/>
  <c r="N190" i="1"/>
  <c r="O190" i="1" s="1"/>
  <c r="N173" i="1"/>
  <c r="O173" i="1" s="1"/>
  <c r="N198" i="1"/>
  <c r="O198" i="1" s="1"/>
  <c r="N162" i="1"/>
  <c r="O162" i="1" s="1"/>
  <c r="N202" i="1"/>
  <c r="O202" i="1" s="1"/>
  <c r="N185" i="1"/>
  <c r="O185" i="1" s="1"/>
  <c r="N183" i="1"/>
  <c r="O183" i="1" s="1"/>
  <c r="N189" i="1"/>
  <c r="O189" i="1" s="1"/>
  <c r="M148" i="1"/>
  <c r="N148" i="1" s="1"/>
  <c r="O148" i="1" s="1"/>
  <c r="M124" i="1"/>
  <c r="N124" i="1"/>
  <c r="O124" i="1" s="1"/>
  <c r="P151" i="1"/>
  <c r="Q151" i="1" s="1"/>
  <c r="D152" i="4"/>
  <c r="J152" i="4" s="1"/>
  <c r="M125" i="1"/>
  <c r="N125" i="1" s="1"/>
  <c r="O125" i="1" s="1"/>
  <c r="M136" i="1"/>
  <c r="N136" i="1" s="1"/>
  <c r="O136" i="1" s="1"/>
  <c r="M112" i="1"/>
  <c r="N112" i="1" s="1"/>
  <c r="O112" i="1" s="1"/>
  <c r="N131" i="1"/>
  <c r="O131" i="1" s="1"/>
  <c r="N129" i="1"/>
  <c r="O129" i="1" s="1"/>
  <c r="N139" i="1"/>
  <c r="O139" i="1" s="1"/>
  <c r="N114" i="1"/>
  <c r="O114" i="1" s="1"/>
  <c r="P91" i="1"/>
  <c r="Q91" i="1" s="1"/>
  <c r="D92" i="4"/>
  <c r="J92" i="4" s="1"/>
  <c r="K92" i="4" s="1"/>
  <c r="M89" i="1"/>
  <c r="N89" i="1" s="1"/>
  <c r="O89" i="1" s="1"/>
  <c r="D103" i="4"/>
  <c r="J103" i="4" s="1"/>
  <c r="D89" i="4"/>
  <c r="J89" i="4" s="1"/>
  <c r="P88" i="1"/>
  <c r="Q88" i="1" s="1"/>
  <c r="M103" i="1"/>
  <c r="N103" i="1"/>
  <c r="O103" i="1" s="1"/>
  <c r="L110" i="1"/>
  <c r="M110" i="1" s="1"/>
  <c r="L70" i="1"/>
  <c r="M70" i="1" s="1"/>
  <c r="L13" i="1"/>
  <c r="M13" i="1" s="1"/>
  <c r="K97" i="1"/>
  <c r="L95" i="1"/>
  <c r="M95" i="1" s="1"/>
  <c r="N92" i="1"/>
  <c r="O92" i="1" s="1"/>
  <c r="L86" i="1"/>
  <c r="M86" i="1" s="1"/>
  <c r="L73" i="1"/>
  <c r="M73" i="1" s="1"/>
  <c r="L37" i="1"/>
  <c r="M37" i="1" s="1"/>
  <c r="N9" i="1"/>
  <c r="O9" i="1" s="1"/>
  <c r="K110" i="1"/>
  <c r="M83" i="1"/>
  <c r="K51" i="1"/>
  <c r="N51" i="1" s="1"/>
  <c r="O51" i="1" s="1"/>
  <c r="L108" i="1"/>
  <c r="M108" i="1" s="1"/>
  <c r="K99" i="1"/>
  <c r="K86" i="1"/>
  <c r="K15" i="1"/>
  <c r="N15" i="1" s="1"/>
  <c r="O15" i="1" s="1"/>
  <c r="M96" i="1"/>
  <c r="N96" i="1" s="1"/>
  <c r="O96" i="1" s="1"/>
  <c r="K87" i="1"/>
  <c r="N81" i="1"/>
  <c r="O81" i="1" s="1"/>
  <c r="N69" i="1"/>
  <c r="O69" i="1" s="1"/>
  <c r="N64" i="1"/>
  <c r="O64" i="1" s="1"/>
  <c r="K39" i="1"/>
  <c r="N39" i="1" s="1"/>
  <c r="O39" i="1" s="1"/>
  <c r="K83" i="1"/>
  <c r="D34" i="4"/>
  <c r="J34" i="4" s="1"/>
  <c r="L106" i="1"/>
  <c r="M106" i="1" s="1"/>
  <c r="L97" i="1"/>
  <c r="M97" i="1" s="1"/>
  <c r="N77" i="1"/>
  <c r="O77" i="1" s="1"/>
  <c r="N16" i="1"/>
  <c r="O16" i="1" s="1"/>
  <c r="K108" i="1"/>
  <c r="L94" i="1"/>
  <c r="M94" i="1" s="1"/>
  <c r="L85" i="1"/>
  <c r="M85" i="1" s="1"/>
  <c r="K71" i="1"/>
  <c r="N71" i="1" s="1"/>
  <c r="O71" i="1" s="1"/>
  <c r="L49" i="1"/>
  <c r="M49" i="1" s="1"/>
  <c r="L82" i="1"/>
  <c r="M82" i="1" s="1"/>
  <c r="M60" i="1"/>
  <c r="N60" i="1" s="1"/>
  <c r="O60" i="1" s="1"/>
  <c r="N40" i="1"/>
  <c r="O40" i="1" s="1"/>
  <c r="N14" i="1"/>
  <c r="O14" i="1" s="1"/>
  <c r="J217" i="6"/>
  <c r="H217" i="6"/>
  <c r="I217" i="6" s="1"/>
  <c r="H37" i="6"/>
  <c r="I37" i="6" s="1"/>
  <c r="J37" i="6"/>
  <c r="H205" i="6"/>
  <c r="I205" i="6" s="1"/>
  <c r="J205" i="6"/>
  <c r="H201" i="6"/>
  <c r="I201" i="6" s="1"/>
  <c r="J201" i="6"/>
  <c r="H25" i="6"/>
  <c r="I25" i="6" s="1"/>
  <c r="J25" i="6"/>
  <c r="H93" i="6"/>
  <c r="I93" i="6" s="1"/>
  <c r="J93" i="6"/>
  <c r="J85" i="6"/>
  <c r="H85" i="6"/>
  <c r="I85" i="6" s="1"/>
  <c r="J193" i="6"/>
  <c r="H193" i="6"/>
  <c r="I193" i="6" s="1"/>
  <c r="H189" i="6"/>
  <c r="I189" i="6" s="1"/>
  <c r="J189" i="6"/>
  <c r="J145" i="6"/>
  <c r="H145" i="6"/>
  <c r="I145" i="6" s="1"/>
  <c r="H81" i="6"/>
  <c r="I81" i="6" s="1"/>
  <c r="J81" i="6"/>
  <c r="J73" i="6"/>
  <c r="H73" i="6"/>
  <c r="I73" i="6" s="1"/>
  <c r="H181" i="6"/>
  <c r="I181" i="6" s="1"/>
  <c r="J181" i="6"/>
  <c r="H177" i="6"/>
  <c r="I177" i="6" s="1"/>
  <c r="J177" i="6"/>
  <c r="H133" i="6"/>
  <c r="I133" i="6" s="1"/>
  <c r="J133" i="6"/>
  <c r="H129" i="6"/>
  <c r="I129" i="6" s="1"/>
  <c r="J129" i="6"/>
  <c r="H69" i="6"/>
  <c r="I69" i="6" s="1"/>
  <c r="J69" i="6"/>
  <c r="H117" i="6"/>
  <c r="I117" i="6" s="1"/>
  <c r="J117" i="6"/>
  <c r="H229" i="6"/>
  <c r="I229" i="6" s="1"/>
  <c r="J229" i="6"/>
  <c r="J121" i="6"/>
  <c r="H121" i="6"/>
  <c r="I121" i="6" s="1"/>
  <c r="H109" i="6"/>
  <c r="I109" i="6" s="1"/>
  <c r="J109" i="6"/>
  <c r="H105" i="6"/>
  <c r="I105" i="6" s="1"/>
  <c r="J105" i="6"/>
  <c r="J27" i="6"/>
  <c r="H27" i="6"/>
  <c r="I27" i="6" s="1"/>
  <c r="H157" i="6"/>
  <c r="I157" i="6" s="1"/>
  <c r="J157" i="6"/>
  <c r="J87" i="6"/>
  <c r="H87" i="6"/>
  <c r="I87" i="6" s="1"/>
  <c r="J75" i="6"/>
  <c r="H75" i="6"/>
  <c r="I75" i="6" s="1"/>
  <c r="H49" i="6"/>
  <c r="I49" i="6" s="1"/>
  <c r="J49" i="6"/>
  <c r="J63" i="6"/>
  <c r="H63" i="6"/>
  <c r="I63" i="6" s="1"/>
  <c r="F206" i="6"/>
  <c r="H206" i="6" s="1"/>
  <c r="I206" i="6" s="1"/>
  <c r="F134" i="6"/>
  <c r="H134" i="6" s="1"/>
  <c r="I134" i="6" s="1"/>
  <c r="F100" i="6"/>
  <c r="J100" i="6" s="1"/>
  <c r="F94" i="6"/>
  <c r="H94" i="6" s="1"/>
  <c r="I94" i="6" s="1"/>
  <c r="F82" i="6"/>
  <c r="F70" i="6"/>
  <c r="F59" i="6"/>
  <c r="F53" i="6"/>
  <c r="F47" i="6"/>
  <c r="H47" i="6" s="1"/>
  <c r="I47" i="6" s="1"/>
  <c r="F41" i="6"/>
  <c r="F35" i="6"/>
  <c r="H35" i="6" s="1"/>
  <c r="I35" i="6" s="1"/>
  <c r="F26" i="6"/>
  <c r="J26" i="6" s="1"/>
  <c r="H234" i="6"/>
  <c r="I234" i="6" s="1"/>
  <c r="H162" i="6"/>
  <c r="I162" i="6" s="1"/>
  <c r="F231" i="6"/>
  <c r="H222" i="6"/>
  <c r="I222" i="6" s="1"/>
  <c r="F216" i="6"/>
  <c r="F203" i="6"/>
  <c r="F194" i="6"/>
  <c r="F159" i="6"/>
  <c r="H150" i="6"/>
  <c r="I150" i="6" s="1"/>
  <c r="F131" i="6"/>
  <c r="F122" i="6"/>
  <c r="H102" i="6"/>
  <c r="I102" i="6" s="1"/>
  <c r="F64" i="6"/>
  <c r="H64" i="6" s="1"/>
  <c r="I64" i="6" s="1"/>
  <c r="F58" i="6"/>
  <c r="H58" i="6" s="1"/>
  <c r="I58" i="6" s="1"/>
  <c r="F46" i="6"/>
  <c r="H46" i="6" s="1"/>
  <c r="I46" i="6" s="1"/>
  <c r="F23" i="6"/>
  <c r="F17" i="6"/>
  <c r="F11" i="6"/>
  <c r="H11" i="6" s="1"/>
  <c r="I11" i="6" s="1"/>
  <c r="F40" i="6"/>
  <c r="F31" i="6"/>
  <c r="H90" i="6"/>
  <c r="I90" i="6" s="1"/>
  <c r="H78" i="6"/>
  <c r="I78" i="6" s="1"/>
  <c r="H66" i="6"/>
  <c r="I66" i="6" s="1"/>
  <c r="J57" i="6"/>
  <c r="H51" i="6"/>
  <c r="I51" i="6" s="1"/>
  <c r="J45" i="6"/>
  <c r="H39" i="6"/>
  <c r="I39" i="6" s="1"/>
  <c r="J33" i="6"/>
  <c r="F28" i="6"/>
  <c r="F230" i="6"/>
  <c r="H224" i="6"/>
  <c r="I224" i="6" s="1"/>
  <c r="F215" i="6"/>
  <c r="H215" i="6" s="1"/>
  <c r="I215" i="6" s="1"/>
  <c r="H186" i="6"/>
  <c r="I186" i="6" s="1"/>
  <c r="H152" i="6"/>
  <c r="I152" i="6" s="1"/>
  <c r="F146" i="6"/>
  <c r="F143" i="6"/>
  <c r="H143" i="6" s="1"/>
  <c r="I143" i="6" s="1"/>
  <c r="H114" i="6"/>
  <c r="I114" i="6" s="1"/>
  <c r="H104" i="6"/>
  <c r="I104" i="6" s="1"/>
  <c r="F19" i="6"/>
  <c r="F16" i="6"/>
  <c r="H16" i="6" s="1"/>
  <c r="I16" i="6" s="1"/>
  <c r="F7" i="6"/>
  <c r="H174" i="6"/>
  <c r="I174" i="6" s="1"/>
  <c r="H54" i="6"/>
  <c r="I54" i="6" s="1"/>
  <c r="H42" i="6"/>
  <c r="I42" i="6" s="1"/>
  <c r="H30" i="6"/>
  <c r="I30" i="6" s="1"/>
  <c r="F211" i="6"/>
  <c r="F208" i="6"/>
  <c r="J208" i="6" s="1"/>
  <c r="F199" i="6"/>
  <c r="H199" i="6" s="1"/>
  <c r="I199" i="6" s="1"/>
  <c r="F196" i="6"/>
  <c r="H196" i="6" s="1"/>
  <c r="I196" i="6" s="1"/>
  <c r="F139" i="6"/>
  <c r="H139" i="6" s="1"/>
  <c r="I139" i="6" s="1"/>
  <c r="F136" i="6"/>
  <c r="H136" i="6" s="1"/>
  <c r="I136" i="6" s="1"/>
  <c r="F127" i="6"/>
  <c r="F124" i="6"/>
  <c r="H6" i="6"/>
  <c r="I6" i="6" s="1"/>
  <c r="F107" i="6"/>
  <c r="H107" i="6" s="1"/>
  <c r="I107" i="6" s="1"/>
  <c r="F98" i="6"/>
  <c r="H18" i="6"/>
  <c r="I18" i="6" s="1"/>
  <c r="J213" i="6"/>
  <c r="H210" i="6"/>
  <c r="I210" i="6" s="1"/>
  <c r="H176" i="6"/>
  <c r="I176" i="6" s="1"/>
  <c r="J141" i="6"/>
  <c r="H138" i="6"/>
  <c r="I138" i="6" s="1"/>
  <c r="F110" i="6"/>
  <c r="H110" i="6" s="1"/>
  <c r="I110" i="6" s="1"/>
  <c r="F86" i="6"/>
  <c r="H86" i="6" s="1"/>
  <c r="I86" i="6" s="1"/>
  <c r="F74" i="6"/>
  <c r="H56" i="6"/>
  <c r="I56" i="6" s="1"/>
  <c r="H44" i="6"/>
  <c r="I44" i="6" s="1"/>
  <c r="H32" i="6"/>
  <c r="I32" i="6" s="1"/>
  <c r="F207" i="6"/>
  <c r="H198" i="6"/>
  <c r="I198" i="6" s="1"/>
  <c r="F192" i="6"/>
  <c r="F179" i="6"/>
  <c r="F170" i="6"/>
  <c r="H170" i="6" s="1"/>
  <c r="I170" i="6" s="1"/>
  <c r="F135" i="6"/>
  <c r="J135" i="6" s="1"/>
  <c r="H126" i="6"/>
  <c r="I126" i="6" s="1"/>
  <c r="F106" i="6"/>
  <c r="H106" i="6" s="1"/>
  <c r="I106" i="6" s="1"/>
  <c r="F95" i="6"/>
  <c r="F89" i="6"/>
  <c r="F83" i="6"/>
  <c r="H83" i="6" s="1"/>
  <c r="I83" i="6" s="1"/>
  <c r="F77" i="6"/>
  <c r="F71" i="6"/>
  <c r="H71" i="6" s="1"/>
  <c r="I71" i="6" s="1"/>
  <c r="F62" i="6"/>
  <c r="H173" i="6"/>
  <c r="I173" i="6" s="1"/>
  <c r="J173" i="6"/>
  <c r="H166" i="6"/>
  <c r="I166" i="6" s="1"/>
  <c r="J166" i="6"/>
  <c r="J94" i="6"/>
  <c r="H82" i="6"/>
  <c r="I82" i="6" s="1"/>
  <c r="J82" i="6"/>
  <c r="H70" i="6"/>
  <c r="I70" i="6" s="1"/>
  <c r="J70" i="6"/>
  <c r="H53" i="6"/>
  <c r="I53" i="6" s="1"/>
  <c r="J53" i="6"/>
  <c r="H41" i="6"/>
  <c r="I41" i="6" s="1"/>
  <c r="J41" i="6"/>
  <c r="J231" i="6"/>
  <c r="H231" i="6"/>
  <c r="I231" i="6" s="1"/>
  <c r="J159" i="6"/>
  <c r="H159" i="6"/>
  <c r="I159" i="6" s="1"/>
  <c r="H34" i="6"/>
  <c r="I34" i="6" s="1"/>
  <c r="J34" i="6"/>
  <c r="H17" i="6"/>
  <c r="I17" i="6" s="1"/>
  <c r="J17" i="6"/>
  <c r="H197" i="6"/>
  <c r="I197" i="6" s="1"/>
  <c r="J197" i="6"/>
  <c r="H190" i="6"/>
  <c r="I190" i="6" s="1"/>
  <c r="J190" i="6"/>
  <c r="H125" i="6"/>
  <c r="I125" i="6" s="1"/>
  <c r="J125" i="6"/>
  <c r="H118" i="6"/>
  <c r="I118" i="6" s="1"/>
  <c r="J118" i="6"/>
  <c r="H22" i="6"/>
  <c r="I22" i="6" s="1"/>
  <c r="J22" i="6"/>
  <c r="H10" i="6"/>
  <c r="I10" i="6" s="1"/>
  <c r="J10" i="6"/>
  <c r="J183" i="6"/>
  <c r="H183" i="6"/>
  <c r="I183" i="6" s="1"/>
  <c r="J111" i="6"/>
  <c r="H111" i="6"/>
  <c r="I111" i="6" s="1"/>
  <c r="H221" i="6"/>
  <c r="I221" i="6" s="1"/>
  <c r="J221" i="6"/>
  <c r="H214" i="6"/>
  <c r="I214" i="6" s="1"/>
  <c r="J214" i="6"/>
  <c r="H149" i="6"/>
  <c r="I149" i="6" s="1"/>
  <c r="J149" i="6"/>
  <c r="H142" i="6"/>
  <c r="I142" i="6" s="1"/>
  <c r="J142" i="6"/>
  <c r="J207" i="6"/>
  <c r="H207" i="6"/>
  <c r="I207" i="6" s="1"/>
  <c r="H89" i="6"/>
  <c r="I89" i="6" s="1"/>
  <c r="J89" i="6"/>
  <c r="H77" i="6"/>
  <c r="I77" i="6" s="1"/>
  <c r="J77" i="6"/>
  <c r="H233" i="6"/>
  <c r="I233" i="6" s="1"/>
  <c r="J233" i="6"/>
  <c r="F228" i="6"/>
  <c r="H220" i="6"/>
  <c r="I220" i="6" s="1"/>
  <c r="J220" i="6"/>
  <c r="H209" i="6"/>
  <c r="I209" i="6" s="1"/>
  <c r="J209" i="6"/>
  <c r="F204" i="6"/>
  <c r="H185" i="6"/>
  <c r="I185" i="6" s="1"/>
  <c r="J185" i="6"/>
  <c r="F180" i="6"/>
  <c r="H172" i="6"/>
  <c r="I172" i="6" s="1"/>
  <c r="J172" i="6"/>
  <c r="H161" i="6"/>
  <c r="I161" i="6" s="1"/>
  <c r="J161" i="6"/>
  <c r="F156" i="6"/>
  <c r="H148" i="6"/>
  <c r="I148" i="6" s="1"/>
  <c r="J148" i="6"/>
  <c r="H137" i="6"/>
  <c r="I137" i="6" s="1"/>
  <c r="J137" i="6"/>
  <c r="F132" i="6"/>
  <c r="H124" i="6"/>
  <c r="I124" i="6" s="1"/>
  <c r="J124" i="6"/>
  <c r="H113" i="6"/>
  <c r="I113" i="6" s="1"/>
  <c r="J113" i="6"/>
  <c r="F108" i="6"/>
  <c r="F72" i="6"/>
  <c r="F36" i="6"/>
  <c r="H219" i="6"/>
  <c r="I219" i="6" s="1"/>
  <c r="H195" i="6"/>
  <c r="I195" i="6" s="1"/>
  <c r="H171" i="6"/>
  <c r="I171" i="6" s="1"/>
  <c r="H158" i="6"/>
  <c r="I158" i="6" s="1"/>
  <c r="J158" i="6"/>
  <c r="H147" i="6"/>
  <c r="I147" i="6" s="1"/>
  <c r="J134" i="6"/>
  <c r="H123" i="6"/>
  <c r="I123" i="6" s="1"/>
  <c r="J107" i="6"/>
  <c r="J91" i="6"/>
  <c r="H91" i="6"/>
  <c r="I91" i="6" s="1"/>
  <c r="J71" i="6"/>
  <c r="J55" i="6"/>
  <c r="H55" i="6"/>
  <c r="I55" i="6" s="1"/>
  <c r="J19" i="6"/>
  <c r="H19" i="6"/>
  <c r="I19" i="6" s="1"/>
  <c r="H230" i="6"/>
  <c r="I230" i="6" s="1"/>
  <c r="J230" i="6"/>
  <c r="H182" i="6"/>
  <c r="I182" i="6" s="1"/>
  <c r="J182" i="6"/>
  <c r="H88" i="6"/>
  <c r="I88" i="6" s="1"/>
  <c r="J88" i="6"/>
  <c r="H74" i="6"/>
  <c r="I74" i="6" s="1"/>
  <c r="J74" i="6"/>
  <c r="H52" i="6"/>
  <c r="I52" i="6" s="1"/>
  <c r="J52" i="6"/>
  <c r="H38" i="6"/>
  <c r="I38" i="6" s="1"/>
  <c r="J38" i="6"/>
  <c r="J16" i="6"/>
  <c r="J211" i="6"/>
  <c r="H211" i="6"/>
  <c r="I211" i="6" s="1"/>
  <c r="J187" i="6"/>
  <c r="H187" i="6"/>
  <c r="I187" i="6" s="1"/>
  <c r="J163" i="6"/>
  <c r="H163" i="6"/>
  <c r="I163" i="6" s="1"/>
  <c r="J115" i="6"/>
  <c r="H115" i="6"/>
  <c r="I115" i="6" s="1"/>
  <c r="F96" i="6"/>
  <c r="F60" i="6"/>
  <c r="F24" i="6"/>
  <c r="H101" i="6"/>
  <c r="I101" i="6" s="1"/>
  <c r="J101" i="6"/>
  <c r="J79" i="6"/>
  <c r="H79" i="6"/>
  <c r="I79" i="6" s="1"/>
  <c r="H65" i="6"/>
  <c r="I65" i="6" s="1"/>
  <c r="J65" i="6"/>
  <c r="J43" i="6"/>
  <c r="H43" i="6"/>
  <c r="I43" i="6" s="1"/>
  <c r="H29" i="6"/>
  <c r="I29" i="6" s="1"/>
  <c r="J29" i="6"/>
  <c r="J7" i="6"/>
  <c r="H7" i="6"/>
  <c r="I7" i="6" s="1"/>
  <c r="H232" i="6"/>
  <c r="I232" i="6" s="1"/>
  <c r="J232" i="6"/>
  <c r="J216" i="6"/>
  <c r="H216" i="6"/>
  <c r="I216" i="6" s="1"/>
  <c r="J192" i="6"/>
  <c r="H192" i="6"/>
  <c r="I192" i="6" s="1"/>
  <c r="H184" i="6"/>
  <c r="I184" i="6" s="1"/>
  <c r="J184" i="6"/>
  <c r="J168" i="6"/>
  <c r="H168" i="6"/>
  <c r="I168" i="6" s="1"/>
  <c r="H160" i="6"/>
  <c r="I160" i="6" s="1"/>
  <c r="J160" i="6"/>
  <c r="F144" i="6"/>
  <c r="F120" i="6"/>
  <c r="H112" i="6"/>
  <c r="I112" i="6" s="1"/>
  <c r="J112" i="6"/>
  <c r="H98" i="6"/>
  <c r="I98" i="6" s="1"/>
  <c r="J98" i="6"/>
  <c r="H76" i="6"/>
  <c r="I76" i="6" s="1"/>
  <c r="J76" i="6"/>
  <c r="H62" i="6"/>
  <c r="I62" i="6" s="1"/>
  <c r="J62" i="6"/>
  <c r="H40" i="6"/>
  <c r="I40" i="6" s="1"/>
  <c r="J40" i="6"/>
  <c r="H226" i="6"/>
  <c r="I226" i="6" s="1"/>
  <c r="J226" i="6"/>
  <c r="J215" i="6"/>
  <c r="H202" i="6"/>
  <c r="I202" i="6" s="1"/>
  <c r="J202" i="6"/>
  <c r="J191" i="6"/>
  <c r="H178" i="6"/>
  <c r="I178" i="6" s="1"/>
  <c r="J178" i="6"/>
  <c r="J167" i="6"/>
  <c r="H154" i="6"/>
  <c r="I154" i="6" s="1"/>
  <c r="J154" i="6"/>
  <c r="H146" i="6"/>
  <c r="I146" i="6" s="1"/>
  <c r="J146" i="6"/>
  <c r="J143" i="6"/>
  <c r="H130" i="6"/>
  <c r="I130" i="6" s="1"/>
  <c r="J130" i="6"/>
  <c r="J119" i="6"/>
  <c r="H218" i="6"/>
  <c r="I218" i="6" s="1"/>
  <c r="J218" i="6"/>
  <c r="H194" i="6"/>
  <c r="I194" i="6" s="1"/>
  <c r="J194" i="6"/>
  <c r="H122" i="6"/>
  <c r="I122" i="6" s="1"/>
  <c r="J122" i="6"/>
  <c r="F84" i="6"/>
  <c r="F48" i="6"/>
  <c r="F12" i="6"/>
  <c r="J103" i="6"/>
  <c r="H103" i="6"/>
  <c r="I103" i="6" s="1"/>
  <c r="J83" i="6"/>
  <c r="J67" i="6"/>
  <c r="H67" i="6"/>
  <c r="I67" i="6" s="1"/>
  <c r="J47" i="6"/>
  <c r="J31" i="6"/>
  <c r="H31" i="6"/>
  <c r="I31" i="6" s="1"/>
  <c r="J11" i="6"/>
  <c r="J223" i="6"/>
  <c r="H223" i="6"/>
  <c r="I223" i="6" s="1"/>
  <c r="H212" i="6"/>
  <c r="I212" i="6" s="1"/>
  <c r="J199" i="6"/>
  <c r="H188" i="6"/>
  <c r="I188" i="6" s="1"/>
  <c r="J175" i="6"/>
  <c r="H175" i="6"/>
  <c r="I175" i="6" s="1"/>
  <c r="H164" i="6"/>
  <c r="I164" i="6" s="1"/>
  <c r="J151" i="6"/>
  <c r="H151" i="6"/>
  <c r="I151" i="6" s="1"/>
  <c r="H140" i="6"/>
  <c r="I140" i="6" s="1"/>
  <c r="J127" i="6"/>
  <c r="H127" i="6"/>
  <c r="I127" i="6" s="1"/>
  <c r="H116" i="6"/>
  <c r="I116" i="6" s="1"/>
  <c r="H100" i="6"/>
  <c r="I100" i="6" s="1"/>
  <c r="H50" i="6"/>
  <c r="I50" i="6" s="1"/>
  <c r="J50" i="6"/>
  <c r="H28" i="6"/>
  <c r="I28" i="6" s="1"/>
  <c r="J28" i="6"/>
  <c r="H14" i="6"/>
  <c r="I14" i="6" s="1"/>
  <c r="J14" i="6"/>
  <c r="G194" i="4"/>
  <c r="H194" i="4"/>
  <c r="I155" i="4"/>
  <c r="G155" i="4"/>
  <c r="H155" i="4"/>
  <c r="H108" i="4"/>
  <c r="I108" i="4"/>
  <c r="G233" i="4"/>
  <c r="G226" i="4"/>
  <c r="G220" i="4"/>
  <c r="G213" i="4"/>
  <c r="G189" i="4"/>
  <c r="G186" i="4"/>
  <c r="H172" i="4"/>
  <c r="G161" i="4"/>
  <c r="H161" i="4"/>
  <c r="I161" i="4"/>
  <c r="H146" i="4"/>
  <c r="G137" i="4"/>
  <c r="G125" i="4"/>
  <c r="I71" i="4"/>
  <c r="G71" i="4"/>
  <c r="H183" i="4"/>
  <c r="I183" i="4"/>
  <c r="G130" i="4"/>
  <c r="H130" i="4"/>
  <c r="H75" i="4"/>
  <c r="I75" i="4"/>
  <c r="H195" i="4"/>
  <c r="I195" i="4"/>
  <c r="H93" i="4"/>
  <c r="I93" i="4"/>
  <c r="H235" i="4"/>
  <c r="H222" i="4"/>
  <c r="I210" i="4"/>
  <c r="I176" i="4"/>
  <c r="I173" i="4"/>
  <c r="I138" i="4"/>
  <c r="G135" i="4"/>
  <c r="H135" i="4"/>
  <c r="I135" i="4"/>
  <c r="I77" i="4"/>
  <c r="G77" i="4"/>
  <c r="I223" i="4"/>
  <c r="I216" i="4"/>
  <c r="H210" i="4"/>
  <c r="G196" i="4"/>
  <c r="H176" i="4"/>
  <c r="H173" i="4"/>
  <c r="I165" i="4"/>
  <c r="I153" i="4"/>
  <c r="H138" i="4"/>
  <c r="H165" i="4"/>
  <c r="H153" i="4"/>
  <c r="H101" i="4"/>
  <c r="I101" i="4"/>
  <c r="H49" i="4"/>
  <c r="I49" i="4"/>
  <c r="I24" i="4"/>
  <c r="G206" i="4"/>
  <c r="H206" i="4"/>
  <c r="G170" i="4"/>
  <c r="H170" i="4"/>
  <c r="I170" i="4"/>
  <c r="H142" i="4"/>
  <c r="G142" i="4"/>
  <c r="I142" i="4"/>
  <c r="G111" i="4"/>
  <c r="H111" i="4"/>
  <c r="I111" i="4"/>
  <c r="G56" i="4"/>
  <c r="I56" i="4"/>
  <c r="G148" i="4"/>
  <c r="H148" i="4"/>
  <c r="I148" i="4"/>
  <c r="G83" i="4"/>
  <c r="H83" i="4"/>
  <c r="I83" i="4"/>
  <c r="G231" i="4"/>
  <c r="I225" i="4"/>
  <c r="H218" i="4"/>
  <c r="I212" i="4"/>
  <c r="I202" i="4"/>
  <c r="I198" i="4"/>
  <c r="I166" i="4"/>
  <c r="I139" i="4"/>
  <c r="H133" i="4"/>
  <c r="G131" i="4"/>
  <c r="H62" i="4"/>
  <c r="I62" i="4"/>
  <c r="H232" i="4"/>
  <c r="H225" i="4"/>
  <c r="I219" i="4"/>
  <c r="H212" i="4"/>
  <c r="H207" i="4"/>
  <c r="I207" i="4"/>
  <c r="H202" i="4"/>
  <c r="H198" i="4"/>
  <c r="G182" i="4"/>
  <c r="H182" i="4"/>
  <c r="I182" i="4"/>
  <c r="H166" i="4"/>
  <c r="H143" i="4"/>
  <c r="H139" i="4"/>
  <c r="G104" i="4"/>
  <c r="I104" i="4"/>
  <c r="I33" i="4"/>
  <c r="G232" i="4"/>
  <c r="G219" i="4"/>
  <c r="H208" i="4"/>
  <c r="I194" i="4"/>
  <c r="H171" i="4"/>
  <c r="I171" i="4"/>
  <c r="H149" i="4"/>
  <c r="G143" i="4"/>
  <c r="H121" i="4"/>
  <c r="G115" i="4"/>
  <c r="H115" i="4"/>
  <c r="I115" i="4"/>
  <c r="G108" i="4"/>
  <c r="H69" i="4"/>
  <c r="I69" i="4"/>
  <c r="G33" i="4"/>
  <c r="G15" i="4"/>
  <c r="H15" i="4"/>
  <c r="I15" i="4"/>
  <c r="H42" i="4"/>
  <c r="I42" i="4"/>
  <c r="H36" i="4"/>
  <c r="I36" i="4"/>
  <c r="G118" i="4"/>
  <c r="H118" i="4"/>
  <c r="H14" i="4"/>
  <c r="I14" i="4"/>
  <c r="H95" i="4"/>
  <c r="I95" i="4"/>
  <c r="H88" i="4"/>
  <c r="I88" i="4"/>
  <c r="I82" i="4"/>
  <c r="H82" i="4"/>
  <c r="H119" i="4"/>
  <c r="I119" i="4"/>
  <c r="I64" i="4"/>
  <c r="I51" i="4"/>
  <c r="H29" i="4"/>
  <c r="I29" i="4"/>
  <c r="I26" i="4"/>
  <c r="H23" i="4"/>
  <c r="I23" i="4"/>
  <c r="H17" i="4"/>
  <c r="I17" i="4"/>
  <c r="I11" i="4"/>
  <c r="H11" i="4"/>
  <c r="H58" i="4"/>
  <c r="I45" i="4"/>
  <c r="I20" i="4"/>
  <c r="G9" i="4"/>
  <c r="H9" i="4"/>
  <c r="I9" i="4"/>
  <c r="H10" i="4"/>
  <c r="I10" i="4"/>
  <c r="G94" i="4"/>
  <c r="G81" i="4"/>
  <c r="H68" i="4"/>
  <c r="G22" i="4"/>
  <c r="H8" i="4"/>
  <c r="P153" i="1" l="1"/>
  <c r="Q153" i="1" s="1"/>
  <c r="D154" i="4"/>
  <c r="J154" i="4" s="1"/>
  <c r="N156" i="1"/>
  <c r="O156" i="1" s="1"/>
  <c r="D157" i="4" s="1"/>
  <c r="J157" i="4" s="1"/>
  <c r="N44" i="1"/>
  <c r="O44" i="1" s="1"/>
  <c r="N20" i="1"/>
  <c r="O20" i="1" s="1"/>
  <c r="N196" i="1"/>
  <c r="O196" i="1" s="1"/>
  <c r="N46" i="1"/>
  <c r="O46" i="1" s="1"/>
  <c r="N107" i="1"/>
  <c r="O107" i="1" s="1"/>
  <c r="N215" i="1"/>
  <c r="O215" i="1" s="1"/>
  <c r="P215" i="1" s="1"/>
  <c r="Q215" i="1" s="1"/>
  <c r="N87" i="1"/>
  <c r="O87" i="1" s="1"/>
  <c r="N61" i="1"/>
  <c r="O61" i="1" s="1"/>
  <c r="D212" i="4"/>
  <c r="N120" i="1"/>
  <c r="O120" i="1" s="1"/>
  <c r="N45" i="1"/>
  <c r="O45" i="1" s="1"/>
  <c r="N164" i="1"/>
  <c r="O164" i="1" s="1"/>
  <c r="P164" i="1" s="1"/>
  <c r="Q164" i="1" s="1"/>
  <c r="N224" i="1"/>
  <c r="O224" i="1" s="1"/>
  <c r="D106" i="4"/>
  <c r="J106" i="4" s="1"/>
  <c r="M104" i="1"/>
  <c r="N104" i="1" s="1"/>
  <c r="O104" i="1" s="1"/>
  <c r="N121" i="1"/>
  <c r="O121" i="1" s="1"/>
  <c r="D122" i="4" s="1"/>
  <c r="J122" i="4" s="1"/>
  <c r="M50" i="1"/>
  <c r="N50" i="1" s="1"/>
  <c r="O50" i="1" s="1"/>
  <c r="P152" i="1"/>
  <c r="Q152" i="1" s="1"/>
  <c r="P100" i="1"/>
  <c r="Q100" i="1" s="1"/>
  <c r="N142" i="1"/>
  <c r="O142" i="1" s="1"/>
  <c r="N18" i="1"/>
  <c r="O18" i="1" s="1"/>
  <c r="P18" i="1" s="1"/>
  <c r="Q18" i="1" s="1"/>
  <c r="M156" i="1"/>
  <c r="N12" i="1"/>
  <c r="O12" i="1" s="1"/>
  <c r="N80" i="1"/>
  <c r="O80" i="1" s="1"/>
  <c r="P101" i="1"/>
  <c r="Q101" i="1" s="1"/>
  <c r="D102" i="4"/>
  <c r="J102" i="4" s="1"/>
  <c r="D155" i="4"/>
  <c r="P154" i="1"/>
  <c r="Q154" i="1" s="1"/>
  <c r="N181" i="1"/>
  <c r="O181" i="1" s="1"/>
  <c r="D182" i="4" s="1"/>
  <c r="J182" i="4" s="1"/>
  <c r="N111" i="1"/>
  <c r="O111" i="1" s="1"/>
  <c r="N140" i="1"/>
  <c r="O140" i="1" s="1"/>
  <c r="N216" i="1"/>
  <c r="O216" i="1" s="1"/>
  <c r="N218" i="1"/>
  <c r="O218" i="1" s="1"/>
  <c r="N145" i="1"/>
  <c r="O145" i="1" s="1"/>
  <c r="N86" i="1"/>
  <c r="O86" i="1" s="1"/>
  <c r="P121" i="1"/>
  <c r="Q121" i="1" s="1"/>
  <c r="D160" i="4"/>
  <c r="J160" i="4" s="1"/>
  <c r="K160" i="4" s="1"/>
  <c r="L160" i="4" s="1"/>
  <c r="M57" i="1"/>
  <c r="N57" i="1" s="1"/>
  <c r="O57" i="1" s="1"/>
  <c r="N220" i="1"/>
  <c r="O220" i="1" s="1"/>
  <c r="P128" i="1"/>
  <c r="Q128" i="1" s="1"/>
  <c r="D19" i="4"/>
  <c r="J19" i="4" s="1"/>
  <c r="P19" i="4" s="1"/>
  <c r="N19" i="1"/>
  <c r="O19" i="1" s="1"/>
  <c r="N116" i="1"/>
  <c r="O116" i="1" s="1"/>
  <c r="D133" i="4"/>
  <c r="N194" i="1"/>
  <c r="O194" i="1" s="1"/>
  <c r="D162" i="4"/>
  <c r="J162" i="4" s="1"/>
  <c r="P162" i="4" s="1"/>
  <c r="N214" i="1"/>
  <c r="O214" i="1" s="1"/>
  <c r="N155" i="1"/>
  <c r="O155" i="1" s="1"/>
  <c r="N73" i="1"/>
  <c r="O73" i="1" s="1"/>
  <c r="N99" i="1"/>
  <c r="O99" i="1" s="1"/>
  <c r="N135" i="1"/>
  <c r="O135" i="1" s="1"/>
  <c r="N68" i="1"/>
  <c r="O68" i="1" s="1"/>
  <c r="N32" i="1"/>
  <c r="O32" i="1" s="1"/>
  <c r="N123" i="1"/>
  <c r="O123" i="1" s="1"/>
  <c r="N177" i="1"/>
  <c r="O177" i="1" s="1"/>
  <c r="P165" i="1"/>
  <c r="Q165" i="1" s="1"/>
  <c r="N229" i="1"/>
  <c r="O229" i="1" s="1"/>
  <c r="D230" i="4" s="1"/>
  <c r="J230" i="4" s="1"/>
  <c r="N24" i="1"/>
  <c r="O24" i="1" s="1"/>
  <c r="N97" i="1"/>
  <c r="O97" i="1" s="1"/>
  <c r="N41" i="1"/>
  <c r="O41" i="1" s="1"/>
  <c r="N13" i="1"/>
  <c r="O13" i="1" s="1"/>
  <c r="N42" i="1"/>
  <c r="O42" i="1" s="1"/>
  <c r="N115" i="1"/>
  <c r="O115" i="1" s="1"/>
  <c r="P115" i="1" s="1"/>
  <c r="Q115" i="1" s="1"/>
  <c r="D144" i="4"/>
  <c r="J144" i="4" s="1"/>
  <c r="N192" i="1"/>
  <c r="O192" i="1" s="1"/>
  <c r="N235" i="1"/>
  <c r="O235" i="1" s="1"/>
  <c r="N10" i="1"/>
  <c r="O10" i="1" s="1"/>
  <c r="N174" i="1"/>
  <c r="O174" i="1" s="1"/>
  <c r="N167" i="1"/>
  <c r="O167" i="1" s="1"/>
  <c r="D168" i="4" s="1"/>
  <c r="J168" i="4" s="1"/>
  <c r="K168" i="4" s="1"/>
  <c r="L168" i="4" s="1"/>
  <c r="N62" i="1"/>
  <c r="O62" i="1" s="1"/>
  <c r="D131" i="4"/>
  <c r="J131" i="4" s="1"/>
  <c r="N131" i="4" s="1"/>
  <c r="O131" i="4" s="1"/>
  <c r="P130" i="1"/>
  <c r="Q130" i="1" s="1"/>
  <c r="D127" i="4"/>
  <c r="J127" i="4" s="1"/>
  <c r="P126" i="1"/>
  <c r="Q126" i="1" s="1"/>
  <c r="P200" i="1"/>
  <c r="Q200" i="1" s="1"/>
  <c r="D201" i="4"/>
  <c r="J201" i="4" s="1"/>
  <c r="K201" i="4" s="1"/>
  <c r="L201" i="4" s="1"/>
  <c r="M201" i="4" s="1"/>
  <c r="D85" i="4"/>
  <c r="J85" i="4" s="1"/>
  <c r="K85" i="4" s="1"/>
  <c r="P84" i="1"/>
  <c r="Q84" i="1" s="1"/>
  <c r="P227" i="1"/>
  <c r="Q227" i="1" s="1"/>
  <c r="D228" i="4"/>
  <c r="J228" i="4" s="1"/>
  <c r="P205" i="4"/>
  <c r="N205" i="4"/>
  <c r="O205" i="4" s="1"/>
  <c r="P62" i="1"/>
  <c r="Q62" i="1" s="1"/>
  <c r="D63" i="4"/>
  <c r="J63" i="4" s="1"/>
  <c r="K63" i="4" s="1"/>
  <c r="L63" i="4" s="1"/>
  <c r="P98" i="1"/>
  <c r="Q98" i="1" s="1"/>
  <c r="D99" i="4"/>
  <c r="J99" i="4" s="1"/>
  <c r="K99" i="4" s="1"/>
  <c r="D177" i="4"/>
  <c r="J177" i="4" s="1"/>
  <c r="P176" i="1"/>
  <c r="Q176" i="1" s="1"/>
  <c r="D165" i="4"/>
  <c r="P134" i="1"/>
  <c r="Q134" i="1" s="1"/>
  <c r="N178" i="1"/>
  <c r="O178" i="1" s="1"/>
  <c r="N25" i="1"/>
  <c r="O25" i="1" s="1"/>
  <c r="P25" i="1" s="1"/>
  <c r="Q25" i="1" s="1"/>
  <c r="N219" i="1"/>
  <c r="O219" i="1" s="1"/>
  <c r="N34" i="1"/>
  <c r="O34" i="1" s="1"/>
  <c r="P34" i="1" s="1"/>
  <c r="Q34" i="1" s="1"/>
  <c r="N157" i="1"/>
  <c r="O157" i="1" s="1"/>
  <c r="J153" i="4"/>
  <c r="N54" i="1"/>
  <c r="O54" i="1" s="1"/>
  <c r="P54" i="1" s="1"/>
  <c r="Q54" i="1" s="1"/>
  <c r="N63" i="1"/>
  <c r="O63" i="1" s="1"/>
  <c r="N95" i="1"/>
  <c r="O95" i="1" s="1"/>
  <c r="D96" i="4" s="1"/>
  <c r="J96" i="4" s="1"/>
  <c r="N160" i="1"/>
  <c r="O160" i="1" s="1"/>
  <c r="P204" i="1"/>
  <c r="Q204" i="1" s="1"/>
  <c r="P156" i="1"/>
  <c r="Q156" i="1" s="1"/>
  <c r="N221" i="1"/>
  <c r="O221" i="1" s="1"/>
  <c r="N38" i="1"/>
  <c r="O38" i="1" s="1"/>
  <c r="N76" i="1"/>
  <c r="O76" i="1" s="1"/>
  <c r="D167" i="4"/>
  <c r="J167" i="4" s="1"/>
  <c r="N167" i="4" s="1"/>
  <c r="O167" i="4" s="1"/>
  <c r="N207" i="1"/>
  <c r="O207" i="1" s="1"/>
  <c r="M191" i="1"/>
  <c r="N191" i="1" s="1"/>
  <c r="O191" i="1" s="1"/>
  <c r="N109" i="1"/>
  <c r="O109" i="1" s="1"/>
  <c r="N170" i="1"/>
  <c r="O170" i="1" s="1"/>
  <c r="P170" i="1" s="1"/>
  <c r="Q170" i="1" s="1"/>
  <c r="D198" i="4"/>
  <c r="N232" i="1"/>
  <c r="O232" i="1" s="1"/>
  <c r="D233" i="4" s="1"/>
  <c r="J233" i="4" s="1"/>
  <c r="K233" i="4" s="1"/>
  <c r="L233" i="4" s="1"/>
  <c r="N223" i="1"/>
  <c r="O223" i="1" s="1"/>
  <c r="N75" i="1"/>
  <c r="O75" i="1" s="1"/>
  <c r="N74" i="1"/>
  <c r="O74" i="1" s="1"/>
  <c r="N59" i="1"/>
  <c r="O59" i="1" s="1"/>
  <c r="N48" i="1"/>
  <c r="O48" i="1" s="1"/>
  <c r="P48" i="1" s="1"/>
  <c r="Q48" i="1" s="1"/>
  <c r="D23" i="4"/>
  <c r="N180" i="1"/>
  <c r="O180" i="1" s="1"/>
  <c r="D181" i="4" s="1"/>
  <c r="J181" i="4" s="1"/>
  <c r="N187" i="1"/>
  <c r="O187" i="1" s="1"/>
  <c r="N169" i="1"/>
  <c r="O169" i="1" s="1"/>
  <c r="P188" i="1"/>
  <c r="Q188" i="1" s="1"/>
  <c r="N225" i="1"/>
  <c r="O225" i="1" s="1"/>
  <c r="D226" i="4" s="1"/>
  <c r="J226" i="4" s="1"/>
  <c r="N209" i="1"/>
  <c r="O209" i="1" s="1"/>
  <c r="D210" i="4" s="1"/>
  <c r="J210" i="4" s="1"/>
  <c r="N150" i="1"/>
  <c r="O150" i="1" s="1"/>
  <c r="D79" i="4"/>
  <c r="J79" i="4" s="1"/>
  <c r="N133" i="1"/>
  <c r="O133" i="1" s="1"/>
  <c r="N184" i="1"/>
  <c r="O184" i="1" s="1"/>
  <c r="N152" i="4"/>
  <c r="O152" i="4" s="1"/>
  <c r="K152" i="4"/>
  <c r="L152" i="4" s="1"/>
  <c r="N162" i="4"/>
  <c r="O162" i="4" s="1"/>
  <c r="K162" i="4"/>
  <c r="K157" i="4"/>
  <c r="L157" i="4" s="1"/>
  <c r="N157" i="4"/>
  <c r="O157" i="4" s="1"/>
  <c r="P157" i="4"/>
  <c r="P234" i="1"/>
  <c r="Q234" i="1" s="1"/>
  <c r="D235" i="4"/>
  <c r="P201" i="4"/>
  <c r="D194" i="4"/>
  <c r="J194" i="4" s="1"/>
  <c r="P193" i="1"/>
  <c r="Q193" i="1" s="1"/>
  <c r="P65" i="1"/>
  <c r="Q65" i="1" s="1"/>
  <c r="D66" i="4"/>
  <c r="J66" i="4" s="1"/>
  <c r="M168" i="4"/>
  <c r="J133" i="4"/>
  <c r="N127" i="1"/>
  <c r="O127" i="1" s="1"/>
  <c r="N168" i="1"/>
  <c r="O168" i="1" s="1"/>
  <c r="P47" i="1"/>
  <c r="Q47" i="1" s="1"/>
  <c r="D48" i="4"/>
  <c r="J48" i="4" s="1"/>
  <c r="N213" i="1"/>
  <c r="O213" i="1" s="1"/>
  <c r="P10" i="1"/>
  <c r="Q10" i="1" s="1"/>
  <c r="D11" i="4"/>
  <c r="J11" i="4" s="1"/>
  <c r="N203" i="1"/>
  <c r="O203" i="1" s="1"/>
  <c r="N83" i="1"/>
  <c r="O83" i="1" s="1"/>
  <c r="P23" i="1"/>
  <c r="Q23" i="1" s="1"/>
  <c r="D24" i="4"/>
  <c r="J24" i="4" s="1"/>
  <c r="P29" i="1"/>
  <c r="Q29" i="1" s="1"/>
  <c r="D30" i="4"/>
  <c r="J30" i="4" s="1"/>
  <c r="K30" i="4" s="1"/>
  <c r="L30" i="4" s="1"/>
  <c r="N172" i="1"/>
  <c r="O172" i="1" s="1"/>
  <c r="N94" i="1"/>
  <c r="O94" i="1" s="1"/>
  <c r="P27" i="1"/>
  <c r="Q27" i="1" s="1"/>
  <c r="D28" i="4"/>
  <c r="J28" i="4" s="1"/>
  <c r="N208" i="1"/>
  <c r="O208" i="1" s="1"/>
  <c r="N66" i="1"/>
  <c r="O66" i="1" s="1"/>
  <c r="P28" i="1"/>
  <c r="Q28" i="1" s="1"/>
  <c r="D29" i="4"/>
  <c r="N182" i="1"/>
  <c r="O182" i="1" s="1"/>
  <c r="K205" i="4"/>
  <c r="L205" i="4" s="1"/>
  <c r="N49" i="1"/>
  <c r="O49" i="1" s="1"/>
  <c r="N147" i="1"/>
  <c r="O147" i="1" s="1"/>
  <c r="N179" i="1"/>
  <c r="O179" i="1" s="1"/>
  <c r="P179" i="1" s="1"/>
  <c r="Q179" i="1" s="1"/>
  <c r="N186" i="1"/>
  <c r="O186" i="1" s="1"/>
  <c r="P186" i="1" s="1"/>
  <c r="Q186" i="1" s="1"/>
  <c r="N226" i="1"/>
  <c r="O226" i="1" s="1"/>
  <c r="D227" i="4" s="1"/>
  <c r="J227" i="4" s="1"/>
  <c r="N233" i="1"/>
  <c r="O233" i="1" s="1"/>
  <c r="N79" i="1"/>
  <c r="O79" i="1" s="1"/>
  <c r="N56" i="1"/>
  <c r="O56" i="1" s="1"/>
  <c r="M31" i="1"/>
  <c r="N31" i="1" s="1"/>
  <c r="O31" i="1" s="1"/>
  <c r="N199" i="1"/>
  <c r="O199" i="1" s="1"/>
  <c r="N36" i="1"/>
  <c r="O36" i="1" s="1"/>
  <c r="N117" i="1"/>
  <c r="O117" i="1" s="1"/>
  <c r="D26" i="4"/>
  <c r="J26" i="4" s="1"/>
  <c r="M43" i="1"/>
  <c r="N43" i="1" s="1"/>
  <c r="O43" i="1" s="1"/>
  <c r="N119" i="1"/>
  <c r="O119" i="1" s="1"/>
  <c r="P45" i="1"/>
  <c r="Q45" i="1" s="1"/>
  <c r="D46" i="4"/>
  <c r="J46" i="4" s="1"/>
  <c r="N30" i="1"/>
  <c r="O30" i="1" s="1"/>
  <c r="J235" i="4"/>
  <c r="P235" i="4" s="1"/>
  <c r="N108" i="1"/>
  <c r="O108" i="1" s="1"/>
  <c r="D196" i="4"/>
  <c r="J196" i="4" s="1"/>
  <c r="N196" i="4" s="1"/>
  <c r="O196" i="4" s="1"/>
  <c r="N206" i="1"/>
  <c r="O206" i="1" s="1"/>
  <c r="P206" i="1" s="1"/>
  <c r="Q206" i="1" s="1"/>
  <c r="N163" i="1"/>
  <c r="O163" i="1" s="1"/>
  <c r="N141" i="1"/>
  <c r="O141" i="1" s="1"/>
  <c r="D18" i="4"/>
  <c r="J18" i="4" s="1"/>
  <c r="P17" i="1"/>
  <c r="Q17" i="1" s="1"/>
  <c r="P223" i="1"/>
  <c r="Q223" i="1" s="1"/>
  <c r="D224" i="4"/>
  <c r="J224" i="4" s="1"/>
  <c r="P214" i="1"/>
  <c r="Q214" i="1" s="1"/>
  <c r="D215" i="4"/>
  <c r="J215" i="4" s="1"/>
  <c r="P231" i="1"/>
  <c r="Q231" i="1" s="1"/>
  <c r="D232" i="4"/>
  <c r="J232" i="4" s="1"/>
  <c r="P229" i="1"/>
  <c r="Q229" i="1" s="1"/>
  <c r="P224" i="1"/>
  <c r="Q224" i="1" s="1"/>
  <c r="D225" i="4"/>
  <c r="J225" i="4" s="1"/>
  <c r="P235" i="1"/>
  <c r="Q235" i="1" s="1"/>
  <c r="D236" i="4"/>
  <c r="J236" i="4" s="1"/>
  <c r="D218" i="4"/>
  <c r="J218" i="4" s="1"/>
  <c r="N218" i="4" s="1"/>
  <c r="O218" i="4" s="1"/>
  <c r="P217" i="1"/>
  <c r="Q217" i="1" s="1"/>
  <c r="P210" i="1"/>
  <c r="Q210" i="1" s="1"/>
  <c r="D211" i="4"/>
  <c r="J211" i="4" s="1"/>
  <c r="P207" i="1"/>
  <c r="Q207" i="1" s="1"/>
  <c r="D208" i="4"/>
  <c r="J208" i="4" s="1"/>
  <c r="P225" i="1"/>
  <c r="Q225" i="1" s="1"/>
  <c r="P212" i="1"/>
  <c r="Q212" i="1" s="1"/>
  <c r="D213" i="4"/>
  <c r="J213" i="4" s="1"/>
  <c r="P222" i="1"/>
  <c r="Q222" i="1" s="1"/>
  <c r="D223" i="4"/>
  <c r="J223" i="4" s="1"/>
  <c r="K223" i="4" s="1"/>
  <c r="L223" i="4" s="1"/>
  <c r="D217" i="4"/>
  <c r="J217" i="4" s="1"/>
  <c r="P216" i="1"/>
  <c r="Q216" i="1" s="1"/>
  <c r="D222" i="4"/>
  <c r="J222" i="4" s="1"/>
  <c r="P221" i="1"/>
  <c r="Q221" i="1" s="1"/>
  <c r="D229" i="4"/>
  <c r="J229" i="4" s="1"/>
  <c r="P228" i="1"/>
  <c r="Q228" i="1" s="1"/>
  <c r="P232" i="1"/>
  <c r="Q232" i="1" s="1"/>
  <c r="D231" i="4"/>
  <c r="J231" i="4" s="1"/>
  <c r="N231" i="4" s="1"/>
  <c r="O231" i="4" s="1"/>
  <c r="P230" i="1"/>
  <c r="Q230" i="1" s="1"/>
  <c r="D202" i="4"/>
  <c r="J202" i="4" s="1"/>
  <c r="P201" i="1"/>
  <c r="Q201" i="1" s="1"/>
  <c r="P185" i="1"/>
  <c r="Q185" i="1" s="1"/>
  <c r="D186" i="4"/>
  <c r="J186" i="4" s="1"/>
  <c r="N186" i="4" s="1"/>
  <c r="O186" i="4" s="1"/>
  <c r="M160" i="4"/>
  <c r="P158" i="1"/>
  <c r="Q158" i="1" s="1"/>
  <c r="D159" i="4"/>
  <c r="J159" i="4" s="1"/>
  <c r="D170" i="4"/>
  <c r="J170" i="4" s="1"/>
  <c r="P169" i="1"/>
  <c r="Q169" i="1" s="1"/>
  <c r="P196" i="1"/>
  <c r="Q196" i="1" s="1"/>
  <c r="D197" i="4"/>
  <c r="J197" i="4" s="1"/>
  <c r="P171" i="1"/>
  <c r="Q171" i="1" s="1"/>
  <c r="D172" i="4"/>
  <c r="J172" i="4" s="1"/>
  <c r="K196" i="4"/>
  <c r="P202" i="1"/>
  <c r="Q202" i="1" s="1"/>
  <c r="D203" i="4"/>
  <c r="J203" i="4" s="1"/>
  <c r="D199" i="4"/>
  <c r="J199" i="4" s="1"/>
  <c r="P198" i="1"/>
  <c r="Q198" i="1" s="1"/>
  <c r="P173" i="1"/>
  <c r="Q173" i="1" s="1"/>
  <c r="D174" i="4"/>
  <c r="J174" i="4" s="1"/>
  <c r="P168" i="4"/>
  <c r="P190" i="1"/>
  <c r="Q190" i="1" s="1"/>
  <c r="D191" i="4"/>
  <c r="J191" i="4" s="1"/>
  <c r="D193" i="4"/>
  <c r="J193" i="4" s="1"/>
  <c r="P192" i="1"/>
  <c r="Q192" i="1" s="1"/>
  <c r="N201" i="4"/>
  <c r="O201" i="4" s="1"/>
  <c r="P160" i="1"/>
  <c r="Q160" i="1" s="1"/>
  <c r="D161" i="4"/>
  <c r="J161" i="4" s="1"/>
  <c r="D206" i="4"/>
  <c r="J206" i="4" s="1"/>
  <c r="P205" i="1"/>
  <c r="Q205" i="1" s="1"/>
  <c r="D180" i="4"/>
  <c r="J180" i="4" s="1"/>
  <c r="D163" i="4"/>
  <c r="J163" i="4" s="1"/>
  <c r="P162" i="1"/>
  <c r="Q162" i="1" s="1"/>
  <c r="M157" i="4"/>
  <c r="P180" i="1"/>
  <c r="Q180" i="1" s="1"/>
  <c r="D176" i="4"/>
  <c r="J176" i="4" s="1"/>
  <c r="P176" i="4" s="1"/>
  <c r="P175" i="1"/>
  <c r="Q175" i="1" s="1"/>
  <c r="P194" i="1"/>
  <c r="Q194" i="1" s="1"/>
  <c r="D195" i="4"/>
  <c r="J195" i="4" s="1"/>
  <c r="D178" i="4"/>
  <c r="J178" i="4" s="1"/>
  <c r="P177" i="1"/>
  <c r="Q177" i="1" s="1"/>
  <c r="D188" i="4"/>
  <c r="J188" i="4" s="1"/>
  <c r="P187" i="1"/>
  <c r="Q187" i="1" s="1"/>
  <c r="D187" i="4"/>
  <c r="J187" i="4" s="1"/>
  <c r="J155" i="4"/>
  <c r="K155" i="4" s="1"/>
  <c r="L155" i="4" s="1"/>
  <c r="D190" i="4"/>
  <c r="J190" i="4" s="1"/>
  <c r="P189" i="1"/>
  <c r="Q189" i="1" s="1"/>
  <c r="P183" i="1"/>
  <c r="Q183" i="1" s="1"/>
  <c r="D184" i="4"/>
  <c r="J184" i="4" s="1"/>
  <c r="K154" i="4"/>
  <c r="N154" i="4"/>
  <c r="O154" i="4" s="1"/>
  <c r="P154" i="4"/>
  <c r="N160" i="4"/>
  <c r="O160" i="4" s="1"/>
  <c r="P160" i="4"/>
  <c r="P125" i="1"/>
  <c r="Q125" i="1" s="1"/>
  <c r="D126" i="4"/>
  <c r="J126" i="4" s="1"/>
  <c r="K122" i="4"/>
  <c r="L122" i="4" s="1"/>
  <c r="N122" i="4"/>
  <c r="O122" i="4" s="1"/>
  <c r="P122" i="4"/>
  <c r="P137" i="1"/>
  <c r="Q137" i="1" s="1"/>
  <c r="D138" i="4"/>
  <c r="J138" i="4" s="1"/>
  <c r="P149" i="1"/>
  <c r="Q149" i="1" s="1"/>
  <c r="D150" i="4"/>
  <c r="J150" i="4" s="1"/>
  <c r="P120" i="1"/>
  <c r="Q120" i="1" s="1"/>
  <c r="D121" i="4"/>
  <c r="J121" i="4" s="1"/>
  <c r="P139" i="1"/>
  <c r="Q139" i="1" s="1"/>
  <c r="D140" i="4"/>
  <c r="J140" i="4" s="1"/>
  <c r="D113" i="4"/>
  <c r="J113" i="4" s="1"/>
  <c r="P112" i="1"/>
  <c r="Q112" i="1" s="1"/>
  <c r="K127" i="4"/>
  <c r="L127" i="4" s="1"/>
  <c r="P122" i="1"/>
  <c r="Q122" i="1" s="1"/>
  <c r="D123" i="4"/>
  <c r="J123" i="4" s="1"/>
  <c r="P116" i="1"/>
  <c r="Q116" i="1" s="1"/>
  <c r="D117" i="4"/>
  <c r="J117" i="4" s="1"/>
  <c r="K129" i="4"/>
  <c r="P129" i="4"/>
  <c r="N129" i="4"/>
  <c r="O129" i="4" s="1"/>
  <c r="D119" i="4"/>
  <c r="J119" i="4" s="1"/>
  <c r="P118" i="1"/>
  <c r="Q118" i="1" s="1"/>
  <c r="D130" i="4"/>
  <c r="J130" i="4" s="1"/>
  <c r="P129" i="1"/>
  <c r="Q129" i="1" s="1"/>
  <c r="D124" i="4"/>
  <c r="J124" i="4" s="1"/>
  <c r="P123" i="1"/>
  <c r="Q123" i="1" s="1"/>
  <c r="D136" i="4"/>
  <c r="J136" i="4" s="1"/>
  <c r="P135" i="1"/>
  <c r="Q135" i="1" s="1"/>
  <c r="D132" i="4"/>
  <c r="J132" i="4" s="1"/>
  <c r="P132" i="4" s="1"/>
  <c r="P131" i="1"/>
  <c r="Q131" i="1" s="1"/>
  <c r="D137" i="4"/>
  <c r="J137" i="4" s="1"/>
  <c r="K137" i="4" s="1"/>
  <c r="L137" i="4" s="1"/>
  <c r="P136" i="1"/>
  <c r="Q136" i="1" s="1"/>
  <c r="P152" i="4"/>
  <c r="D149" i="4"/>
  <c r="J149" i="4" s="1"/>
  <c r="N149" i="4" s="1"/>
  <c r="O149" i="4" s="1"/>
  <c r="P148" i="1"/>
  <c r="Q148" i="1" s="1"/>
  <c r="D125" i="4"/>
  <c r="J125" i="4" s="1"/>
  <c r="P124" i="1"/>
  <c r="Q124" i="1" s="1"/>
  <c r="P113" i="1"/>
  <c r="Q113" i="1" s="1"/>
  <c r="D114" i="4"/>
  <c r="J114" i="4" s="1"/>
  <c r="P131" i="4"/>
  <c r="P140" i="1"/>
  <c r="Q140" i="1" s="1"/>
  <c r="D141" i="4"/>
  <c r="J141" i="4" s="1"/>
  <c r="P146" i="1"/>
  <c r="Q146" i="1" s="1"/>
  <c r="D147" i="4"/>
  <c r="J147" i="4" s="1"/>
  <c r="D148" i="4"/>
  <c r="J148" i="4" s="1"/>
  <c r="P147" i="1"/>
  <c r="Q147" i="1" s="1"/>
  <c r="P138" i="1"/>
  <c r="Q138" i="1" s="1"/>
  <c r="D139" i="4"/>
  <c r="J139" i="4" s="1"/>
  <c r="D143" i="4"/>
  <c r="J143" i="4" s="1"/>
  <c r="P142" i="1"/>
  <c r="Q142" i="1" s="1"/>
  <c r="P114" i="1"/>
  <c r="Q114" i="1" s="1"/>
  <c r="D115" i="4"/>
  <c r="J115" i="4" s="1"/>
  <c r="P144" i="1"/>
  <c r="Q144" i="1" s="1"/>
  <c r="D145" i="4"/>
  <c r="J145" i="4" s="1"/>
  <c r="P72" i="1"/>
  <c r="Q72" i="1" s="1"/>
  <c r="D73" i="4"/>
  <c r="J73" i="4" s="1"/>
  <c r="P67" i="1"/>
  <c r="Q67" i="1" s="1"/>
  <c r="D68" i="4"/>
  <c r="J68" i="4" s="1"/>
  <c r="P90" i="1"/>
  <c r="Q90" i="1" s="1"/>
  <c r="D91" i="4"/>
  <c r="J91" i="4" s="1"/>
  <c r="D62" i="4"/>
  <c r="J62" i="4" s="1"/>
  <c r="P61" i="1"/>
  <c r="Q61" i="1" s="1"/>
  <c r="P21" i="1"/>
  <c r="Q21" i="1" s="1"/>
  <c r="D22" i="4"/>
  <c r="J22" i="4" s="1"/>
  <c r="N22" i="4" s="1"/>
  <c r="O22" i="4" s="1"/>
  <c r="P69" i="1"/>
  <c r="Q69" i="1" s="1"/>
  <c r="D70" i="4"/>
  <c r="J70" i="4" s="1"/>
  <c r="D108" i="4"/>
  <c r="P107" i="1"/>
  <c r="Q107" i="1" s="1"/>
  <c r="N70" i="1"/>
  <c r="O70" i="1" s="1"/>
  <c r="P94" i="1"/>
  <c r="Q94" i="1" s="1"/>
  <c r="D95" i="4"/>
  <c r="J95" i="4" s="1"/>
  <c r="P85" i="4"/>
  <c r="N85" i="4"/>
  <c r="O85" i="4" s="1"/>
  <c r="P41" i="1"/>
  <c r="Q41" i="1" s="1"/>
  <c r="D42" i="4"/>
  <c r="J42" i="4" s="1"/>
  <c r="P44" i="1"/>
  <c r="Q44" i="1" s="1"/>
  <c r="D45" i="4"/>
  <c r="J45" i="4" s="1"/>
  <c r="D74" i="4"/>
  <c r="J74" i="4" s="1"/>
  <c r="P73" i="1"/>
  <c r="Q73" i="1" s="1"/>
  <c r="P60" i="1"/>
  <c r="Q60" i="1" s="1"/>
  <c r="D61" i="4"/>
  <c r="J61" i="4" s="1"/>
  <c r="P9" i="1"/>
  <c r="Q9" i="1" s="1"/>
  <c r="D10" i="4"/>
  <c r="J10" i="4" s="1"/>
  <c r="D97" i="4"/>
  <c r="J97" i="4" s="1"/>
  <c r="P96" i="1"/>
  <c r="Q96" i="1" s="1"/>
  <c r="D49" i="4"/>
  <c r="J49" i="4" s="1"/>
  <c r="P95" i="1"/>
  <c r="Q95" i="1" s="1"/>
  <c r="P11" i="1"/>
  <c r="Q11" i="1" s="1"/>
  <c r="D12" i="4"/>
  <c r="J12" i="4" s="1"/>
  <c r="K12" i="4" s="1"/>
  <c r="L12" i="4" s="1"/>
  <c r="N99" i="4"/>
  <c r="O99" i="4" s="1"/>
  <c r="P99" i="4"/>
  <c r="P15" i="1"/>
  <c r="Q15" i="1" s="1"/>
  <c r="D16" i="4"/>
  <c r="J16" i="4" s="1"/>
  <c r="P51" i="1"/>
  <c r="Q51" i="1" s="1"/>
  <c r="D52" i="4"/>
  <c r="J52" i="4" s="1"/>
  <c r="D90" i="4"/>
  <c r="J90" i="4" s="1"/>
  <c r="P89" i="1"/>
  <c r="Q89" i="1" s="1"/>
  <c r="P92" i="4"/>
  <c r="N92" i="4"/>
  <c r="O92" i="4" s="1"/>
  <c r="P13" i="1"/>
  <c r="Q13" i="1" s="1"/>
  <c r="D14" i="4"/>
  <c r="J14" i="4" s="1"/>
  <c r="P49" i="1"/>
  <c r="Q49" i="1" s="1"/>
  <c r="D50" i="4"/>
  <c r="J50" i="4" s="1"/>
  <c r="P50" i="4" s="1"/>
  <c r="D84" i="4"/>
  <c r="J84" i="4" s="1"/>
  <c r="P83" i="1"/>
  <c r="Q83" i="1" s="1"/>
  <c r="P7" i="1"/>
  <c r="Q7" i="1" s="1"/>
  <c r="J8" i="4"/>
  <c r="P20" i="1"/>
  <c r="Q20" i="1" s="1"/>
  <c r="D21" i="4"/>
  <c r="J21" i="4" s="1"/>
  <c r="P68" i="1"/>
  <c r="Q68" i="1" s="1"/>
  <c r="D69" i="4"/>
  <c r="P92" i="1"/>
  <c r="Q92" i="1" s="1"/>
  <c r="D93" i="4"/>
  <c r="J93" i="4" s="1"/>
  <c r="K106" i="4"/>
  <c r="L106" i="4" s="1"/>
  <c r="M106" i="4" s="1"/>
  <c r="N106" i="4"/>
  <c r="O106" i="4" s="1"/>
  <c r="P106" i="4"/>
  <c r="D78" i="4"/>
  <c r="J78" i="4" s="1"/>
  <c r="P77" i="1"/>
  <c r="Q77" i="1" s="1"/>
  <c r="P71" i="1"/>
  <c r="Q71" i="1" s="1"/>
  <c r="D72" i="4"/>
  <c r="J72" i="4" s="1"/>
  <c r="D54" i="4"/>
  <c r="J54" i="4" s="1"/>
  <c r="P53" i="1"/>
  <c r="Q53" i="1" s="1"/>
  <c r="N85" i="1"/>
  <c r="O85" i="1" s="1"/>
  <c r="D9" i="4"/>
  <c r="J9" i="4" s="1"/>
  <c r="P12" i="1"/>
  <c r="Q12" i="1" s="1"/>
  <c r="D13" i="4"/>
  <c r="J13" i="4" s="1"/>
  <c r="P35" i="1"/>
  <c r="Q35" i="1" s="1"/>
  <c r="D36" i="4"/>
  <c r="J36" i="4" s="1"/>
  <c r="P24" i="1"/>
  <c r="Q24" i="1" s="1"/>
  <c r="D25" i="4"/>
  <c r="J25" i="4" s="1"/>
  <c r="P86" i="1"/>
  <c r="Q86" i="1" s="1"/>
  <c r="D87" i="4"/>
  <c r="J87" i="4" s="1"/>
  <c r="P80" i="1"/>
  <c r="Q80" i="1" s="1"/>
  <c r="D81" i="4"/>
  <c r="J81" i="4" s="1"/>
  <c r="P97" i="1"/>
  <c r="Q97" i="1" s="1"/>
  <c r="D98" i="4"/>
  <c r="J98" i="4" s="1"/>
  <c r="P103" i="1"/>
  <c r="Q103" i="1" s="1"/>
  <c r="D104" i="4"/>
  <c r="J104" i="4" s="1"/>
  <c r="N19" i="4"/>
  <c r="O19" i="4" s="1"/>
  <c r="P14" i="1"/>
  <c r="Q14" i="1" s="1"/>
  <c r="D15" i="4"/>
  <c r="J15" i="4" s="1"/>
  <c r="N37" i="1"/>
  <c r="O37" i="1" s="1"/>
  <c r="P26" i="1"/>
  <c r="Q26" i="1" s="1"/>
  <c r="D27" i="4"/>
  <c r="J27" i="4" s="1"/>
  <c r="P27" i="4" s="1"/>
  <c r="P93" i="1"/>
  <c r="Q93" i="1" s="1"/>
  <c r="D94" i="4"/>
  <c r="J94" i="4" s="1"/>
  <c r="P19" i="1"/>
  <c r="Q19" i="1" s="1"/>
  <c r="D20" i="4"/>
  <c r="J20" i="4" s="1"/>
  <c r="K103" i="4"/>
  <c r="P103" i="4"/>
  <c r="N103" i="4"/>
  <c r="O103" i="4" s="1"/>
  <c r="N106" i="1"/>
  <c r="O106" i="1" s="1"/>
  <c r="P40" i="1"/>
  <c r="Q40" i="1" s="1"/>
  <c r="D41" i="4"/>
  <c r="J41" i="4" s="1"/>
  <c r="P34" i="4"/>
  <c r="K34" i="4"/>
  <c r="L34" i="4" s="1"/>
  <c r="M34" i="4" s="1"/>
  <c r="N34" i="4"/>
  <c r="O34" i="4" s="1"/>
  <c r="P39" i="1"/>
  <c r="Q39" i="1" s="1"/>
  <c r="D40" i="4"/>
  <c r="J40" i="4" s="1"/>
  <c r="P81" i="1"/>
  <c r="Q81" i="1" s="1"/>
  <c r="D82" i="4"/>
  <c r="J82" i="4" s="1"/>
  <c r="P99" i="1"/>
  <c r="Q99" i="1" s="1"/>
  <c r="D100" i="4"/>
  <c r="J100" i="4" s="1"/>
  <c r="N110" i="1"/>
  <c r="O110" i="1" s="1"/>
  <c r="P32" i="1"/>
  <c r="Q32" i="1" s="1"/>
  <c r="D33" i="4"/>
  <c r="J33" i="4" s="1"/>
  <c r="J108" i="4"/>
  <c r="N108" i="4" s="1"/>
  <c r="O108" i="4" s="1"/>
  <c r="P55" i="1"/>
  <c r="Q55" i="1" s="1"/>
  <c r="D56" i="4"/>
  <c r="J56" i="4" s="1"/>
  <c r="D109" i="4"/>
  <c r="J109" i="4" s="1"/>
  <c r="K109" i="4" s="1"/>
  <c r="L109" i="4" s="1"/>
  <c r="P108" i="1"/>
  <c r="Q108" i="1" s="1"/>
  <c r="P52" i="1"/>
  <c r="Q52" i="1" s="1"/>
  <c r="D53" i="4"/>
  <c r="J53" i="4" s="1"/>
  <c r="P87" i="1"/>
  <c r="Q87" i="1" s="1"/>
  <c r="D88" i="4"/>
  <c r="J88" i="4" s="1"/>
  <c r="P42" i="1"/>
  <c r="Q42" i="1" s="1"/>
  <c r="D43" i="4"/>
  <c r="J43" i="4" s="1"/>
  <c r="P59" i="1"/>
  <c r="Q59" i="1" s="1"/>
  <c r="D60" i="4"/>
  <c r="J60" i="4" s="1"/>
  <c r="P16" i="1"/>
  <c r="Q16" i="1" s="1"/>
  <c r="D17" i="4"/>
  <c r="J17" i="4" s="1"/>
  <c r="P64" i="1"/>
  <c r="Q64" i="1" s="1"/>
  <c r="D65" i="4"/>
  <c r="J65" i="4" s="1"/>
  <c r="P58" i="1"/>
  <c r="Q58" i="1" s="1"/>
  <c r="D59" i="4"/>
  <c r="J59" i="4" s="1"/>
  <c r="P59" i="4" s="1"/>
  <c r="N82" i="1"/>
  <c r="O82" i="1" s="1"/>
  <c r="H135" i="6"/>
  <c r="I135" i="6" s="1"/>
  <c r="H23" i="6"/>
  <c r="I23" i="6" s="1"/>
  <c r="J23" i="6"/>
  <c r="J139" i="6"/>
  <c r="J170" i="6"/>
  <c r="H26" i="6"/>
  <c r="I26" i="6" s="1"/>
  <c r="J136" i="6"/>
  <c r="H208" i="6"/>
  <c r="I208" i="6" s="1"/>
  <c r="J35" i="6"/>
  <c r="J131" i="6"/>
  <c r="H131" i="6"/>
  <c r="I131" i="6" s="1"/>
  <c r="J64" i="6"/>
  <c r="J196" i="6"/>
  <c r="J46" i="6"/>
  <c r="J86" i="6"/>
  <c r="J206" i="6"/>
  <c r="H59" i="6"/>
  <c r="I59" i="6" s="1"/>
  <c r="J59" i="6"/>
  <c r="H179" i="6"/>
  <c r="I179" i="6" s="1"/>
  <c r="J179" i="6"/>
  <c r="J110" i="6"/>
  <c r="J106" i="6"/>
  <c r="J58" i="6"/>
  <c r="J203" i="6"/>
  <c r="H203" i="6"/>
  <c r="I203" i="6" s="1"/>
  <c r="H95" i="6"/>
  <c r="I95" i="6" s="1"/>
  <c r="J95" i="6"/>
  <c r="J132" i="6"/>
  <c r="H132" i="6"/>
  <c r="I132" i="6" s="1"/>
  <c r="J144" i="6"/>
  <c r="H144" i="6"/>
  <c r="I144" i="6" s="1"/>
  <c r="J204" i="6"/>
  <c r="H204" i="6"/>
  <c r="I204" i="6" s="1"/>
  <c r="J24" i="6"/>
  <c r="H24" i="6"/>
  <c r="I24" i="6" s="1"/>
  <c r="J60" i="6"/>
  <c r="H60" i="6"/>
  <c r="I60" i="6" s="1"/>
  <c r="J36" i="6"/>
  <c r="H36" i="6"/>
  <c r="I36" i="6" s="1"/>
  <c r="J156" i="6"/>
  <c r="H156" i="6"/>
  <c r="I156" i="6" s="1"/>
  <c r="J12" i="6"/>
  <c r="H12" i="6"/>
  <c r="I12" i="6" s="1"/>
  <c r="J96" i="6"/>
  <c r="H96" i="6"/>
  <c r="I96" i="6" s="1"/>
  <c r="J72" i="6"/>
  <c r="H72" i="6"/>
  <c r="I72" i="6" s="1"/>
  <c r="J48" i="6"/>
  <c r="H48" i="6"/>
  <c r="I48" i="6" s="1"/>
  <c r="J108" i="6"/>
  <c r="H108" i="6"/>
  <c r="I108" i="6" s="1"/>
  <c r="J84" i="6"/>
  <c r="H84" i="6"/>
  <c r="I84" i="6" s="1"/>
  <c r="J228" i="6"/>
  <c r="H228" i="6"/>
  <c r="I228" i="6" s="1"/>
  <c r="J120" i="6"/>
  <c r="H120" i="6"/>
  <c r="I120" i="6" s="1"/>
  <c r="J180" i="6"/>
  <c r="H180" i="6"/>
  <c r="I180" i="6" s="1"/>
  <c r="J101" i="4"/>
  <c r="L162" i="4"/>
  <c r="M162" i="4" s="1"/>
  <c r="N235" i="4"/>
  <c r="O235" i="4" s="1"/>
  <c r="P223" i="4"/>
  <c r="N223" i="4"/>
  <c r="O223" i="4" s="1"/>
  <c r="P26" i="4"/>
  <c r="K26" i="4"/>
  <c r="L26" i="4" s="1"/>
  <c r="N26" i="4"/>
  <c r="O26" i="4" s="1"/>
  <c r="K133" i="4"/>
  <c r="L133" i="4" s="1"/>
  <c r="P133" i="4"/>
  <c r="N133" i="4"/>
  <c r="O133" i="4" s="1"/>
  <c r="N50" i="4"/>
  <c r="O50" i="4" s="1"/>
  <c r="K24" i="4"/>
  <c r="L24" i="4" s="1"/>
  <c r="N24" i="4"/>
  <c r="O24" i="4" s="1"/>
  <c r="P24" i="4"/>
  <c r="P153" i="4"/>
  <c r="K153" i="4"/>
  <c r="L153" i="4" s="1"/>
  <c r="N153" i="4"/>
  <c r="O153" i="4" s="1"/>
  <c r="M205" i="4"/>
  <c r="J135" i="4"/>
  <c r="L99" i="4"/>
  <c r="M99" i="4"/>
  <c r="K102" i="4"/>
  <c r="L102" i="4" s="1"/>
  <c r="P102" i="4"/>
  <c r="N102" i="4"/>
  <c r="O102" i="4" s="1"/>
  <c r="P155" i="4"/>
  <c r="P89" i="4"/>
  <c r="K89" i="4"/>
  <c r="L89" i="4" s="1"/>
  <c r="N89" i="4"/>
  <c r="O89" i="4" s="1"/>
  <c r="J23" i="4"/>
  <c r="J165" i="4"/>
  <c r="J29" i="4"/>
  <c r="L85" i="4"/>
  <c r="M85" i="4" s="1"/>
  <c r="J166" i="4"/>
  <c r="N189" i="4"/>
  <c r="O189" i="4" s="1"/>
  <c r="K189" i="4"/>
  <c r="L189" i="4" s="1"/>
  <c r="P189" i="4"/>
  <c r="N144" i="4"/>
  <c r="O144" i="4" s="1"/>
  <c r="P144" i="4"/>
  <c r="K144" i="4"/>
  <c r="L144" i="4" s="1"/>
  <c r="J69" i="4"/>
  <c r="J198" i="4"/>
  <c r="N63" i="4"/>
  <c r="O63" i="4" s="1"/>
  <c r="L92" i="4"/>
  <c r="M92" i="4" s="1"/>
  <c r="J212" i="4"/>
  <c r="M152" i="4"/>
  <c r="P50" i="1" l="1"/>
  <c r="Q50" i="1" s="1"/>
  <c r="D51" i="4"/>
  <c r="J51" i="4" s="1"/>
  <c r="N51" i="4" s="1"/>
  <c r="O51" i="4" s="1"/>
  <c r="P104" i="1"/>
  <c r="Q104" i="1" s="1"/>
  <c r="D105" i="4"/>
  <c r="J105" i="4" s="1"/>
  <c r="N210" i="4"/>
  <c r="O210" i="4" s="1"/>
  <c r="K210" i="4"/>
  <c r="L210" i="4" s="1"/>
  <c r="P210" i="4"/>
  <c r="K226" i="4"/>
  <c r="L226" i="4" s="1"/>
  <c r="N226" i="4"/>
  <c r="O226" i="4" s="1"/>
  <c r="P226" i="4"/>
  <c r="D216" i="4"/>
  <c r="J216" i="4" s="1"/>
  <c r="P46" i="1"/>
  <c r="Q46" i="1" s="1"/>
  <c r="D47" i="4"/>
  <c r="J47" i="4" s="1"/>
  <c r="P226" i="1"/>
  <c r="Q226" i="1" s="1"/>
  <c r="P209" i="1"/>
  <c r="Q209" i="1" s="1"/>
  <c r="P167" i="1"/>
  <c r="Q167" i="1" s="1"/>
  <c r="M189" i="4"/>
  <c r="P57" i="1"/>
  <c r="Q57" i="1" s="1"/>
  <c r="D58" i="4"/>
  <c r="J58" i="4" s="1"/>
  <c r="N58" i="4" s="1"/>
  <c r="O58" i="4" s="1"/>
  <c r="P63" i="4"/>
  <c r="K19" i="4"/>
  <c r="L19" i="4" s="1"/>
  <c r="D35" i="4"/>
  <c r="J35" i="4" s="1"/>
  <c r="D207" i="4"/>
  <c r="J207" i="4" s="1"/>
  <c r="P111" i="1"/>
  <c r="Q111" i="1" s="1"/>
  <c r="D112" i="4"/>
  <c r="J112" i="4" s="1"/>
  <c r="N155" i="4"/>
  <c r="O155" i="4" s="1"/>
  <c r="D221" i="4"/>
  <c r="J221" i="4" s="1"/>
  <c r="P220" i="1"/>
  <c r="Q220" i="1" s="1"/>
  <c r="D116" i="4"/>
  <c r="J116" i="4" s="1"/>
  <c r="N168" i="4"/>
  <c r="O168" i="4" s="1"/>
  <c r="D156" i="4"/>
  <c r="J156" i="4" s="1"/>
  <c r="P155" i="1"/>
  <c r="Q155" i="1" s="1"/>
  <c r="P181" i="1"/>
  <c r="Q181" i="1" s="1"/>
  <c r="K167" i="4"/>
  <c r="L167" i="4" s="1"/>
  <c r="P167" i="4"/>
  <c r="D175" i="4"/>
  <c r="J175" i="4" s="1"/>
  <c r="P174" i="1"/>
  <c r="Q174" i="1" s="1"/>
  <c r="D146" i="4"/>
  <c r="J146" i="4" s="1"/>
  <c r="N146" i="4" s="1"/>
  <c r="O146" i="4" s="1"/>
  <c r="P145" i="1"/>
  <c r="Q145" i="1" s="1"/>
  <c r="D219" i="4"/>
  <c r="J219" i="4" s="1"/>
  <c r="P218" i="1"/>
  <c r="Q218" i="1" s="1"/>
  <c r="P191" i="1"/>
  <c r="Q191" i="1" s="1"/>
  <c r="D192" i="4"/>
  <c r="J192" i="4" s="1"/>
  <c r="K194" i="4"/>
  <c r="L194" i="4" s="1"/>
  <c r="N194" i="4"/>
  <c r="O194" i="4" s="1"/>
  <c r="P194" i="4"/>
  <c r="P109" i="1"/>
  <c r="Q109" i="1" s="1"/>
  <c r="D110" i="4"/>
  <c r="J110" i="4" s="1"/>
  <c r="P63" i="1"/>
  <c r="Q63" i="1" s="1"/>
  <c r="D64" i="4"/>
  <c r="J64" i="4" s="1"/>
  <c r="K177" i="4"/>
  <c r="L177" i="4" s="1"/>
  <c r="M177" i="4"/>
  <c r="N177" i="4"/>
  <c r="O177" i="4" s="1"/>
  <c r="P177" i="4"/>
  <c r="P184" i="1"/>
  <c r="Q184" i="1" s="1"/>
  <c r="D185" i="4"/>
  <c r="J185" i="4" s="1"/>
  <c r="D158" i="4"/>
  <c r="J158" i="4" s="1"/>
  <c r="P157" i="1"/>
  <c r="Q157" i="1" s="1"/>
  <c r="D134" i="4"/>
  <c r="J134" i="4" s="1"/>
  <c r="P133" i="1"/>
  <c r="Q133" i="1" s="1"/>
  <c r="N132" i="4"/>
  <c r="O132" i="4" s="1"/>
  <c r="K59" i="4"/>
  <c r="L59" i="4" s="1"/>
  <c r="N59" i="4"/>
  <c r="O59" i="4" s="1"/>
  <c r="K149" i="4"/>
  <c r="L149" i="4" s="1"/>
  <c r="D171" i="4"/>
  <c r="J171" i="4" s="1"/>
  <c r="P171" i="4" s="1"/>
  <c r="P196" i="4"/>
  <c r="K79" i="4"/>
  <c r="L79" i="4" s="1"/>
  <c r="N79" i="4"/>
  <c r="O79" i="4" s="1"/>
  <c r="P79" i="4"/>
  <c r="D77" i="4"/>
  <c r="J77" i="4" s="1"/>
  <c r="P76" i="1"/>
  <c r="Q76" i="1" s="1"/>
  <c r="P219" i="1"/>
  <c r="Q219" i="1" s="1"/>
  <c r="D220" i="4"/>
  <c r="J220" i="4" s="1"/>
  <c r="P149" i="4"/>
  <c r="K50" i="4"/>
  <c r="L50" i="4" s="1"/>
  <c r="P30" i="4"/>
  <c r="P150" i="1"/>
  <c r="Q150" i="1" s="1"/>
  <c r="D151" i="4"/>
  <c r="J151" i="4" s="1"/>
  <c r="P74" i="1"/>
  <c r="Q74" i="1" s="1"/>
  <c r="D75" i="4"/>
  <c r="J75" i="4" s="1"/>
  <c r="P38" i="1"/>
  <c r="Q38" i="1" s="1"/>
  <c r="D39" i="4"/>
  <c r="J39" i="4" s="1"/>
  <c r="N30" i="4"/>
  <c r="O30" i="4" s="1"/>
  <c r="M122" i="4"/>
  <c r="P75" i="1"/>
  <c r="Q75" i="1" s="1"/>
  <c r="D76" i="4"/>
  <c r="J76" i="4" s="1"/>
  <c r="P178" i="1"/>
  <c r="Q178" i="1" s="1"/>
  <c r="D179" i="4"/>
  <c r="J179" i="4" s="1"/>
  <c r="P127" i="4"/>
  <c r="N127" i="4"/>
  <c r="O127" i="4" s="1"/>
  <c r="D55" i="4"/>
  <c r="J55" i="4" s="1"/>
  <c r="N228" i="4"/>
  <c r="O228" i="4" s="1"/>
  <c r="P228" i="4"/>
  <c r="K228" i="4"/>
  <c r="K131" i="4"/>
  <c r="L131" i="4" s="1"/>
  <c r="N95" i="4"/>
  <c r="O95" i="4" s="1"/>
  <c r="K95" i="4"/>
  <c r="L95" i="4" s="1"/>
  <c r="P95" i="4"/>
  <c r="N20" i="4"/>
  <c r="O20" i="4" s="1"/>
  <c r="P20" i="4"/>
  <c r="K20" i="4"/>
  <c r="L20" i="4" s="1"/>
  <c r="K172" i="4"/>
  <c r="L172" i="4" s="1"/>
  <c r="M172" i="4"/>
  <c r="N172" i="4"/>
  <c r="O172" i="4" s="1"/>
  <c r="P172" i="4"/>
  <c r="K222" i="4"/>
  <c r="L222" i="4" s="1"/>
  <c r="N222" i="4"/>
  <c r="O222" i="4" s="1"/>
  <c r="P222" i="4"/>
  <c r="K206" i="4"/>
  <c r="L206" i="4" s="1"/>
  <c r="P206" i="4"/>
  <c r="P130" i="4"/>
  <c r="K130" i="4"/>
  <c r="L130" i="4" s="1"/>
  <c r="N130" i="4"/>
  <c r="O130" i="4" s="1"/>
  <c r="N208" i="4"/>
  <c r="O208" i="4" s="1"/>
  <c r="M208" i="4"/>
  <c r="K208" i="4"/>
  <c r="L208" i="4" s="1"/>
  <c r="M63" i="4"/>
  <c r="P43" i="1"/>
  <c r="Q43" i="1" s="1"/>
  <c r="D44" i="4"/>
  <c r="J44" i="4" s="1"/>
  <c r="D204" i="4"/>
  <c r="J204" i="4" s="1"/>
  <c r="P203" i="1"/>
  <c r="Q203" i="1" s="1"/>
  <c r="P66" i="1"/>
  <c r="Q66" i="1" s="1"/>
  <c r="D67" i="4"/>
  <c r="J67" i="4" s="1"/>
  <c r="P208" i="1"/>
  <c r="Q208" i="1" s="1"/>
  <c r="D209" i="4"/>
  <c r="J209" i="4" s="1"/>
  <c r="K235" i="4"/>
  <c r="L235" i="4" s="1"/>
  <c r="N28" i="4"/>
  <c r="O28" i="4" s="1"/>
  <c r="P28" i="4"/>
  <c r="K28" i="4"/>
  <c r="P213" i="1"/>
  <c r="Q213" i="1" s="1"/>
  <c r="D214" i="4"/>
  <c r="J214" i="4" s="1"/>
  <c r="N66" i="4"/>
  <c r="O66" i="4" s="1"/>
  <c r="K66" i="4"/>
  <c r="L66" i="4" s="1"/>
  <c r="M66" i="4" s="1"/>
  <c r="P66" i="4"/>
  <c r="D118" i="4"/>
  <c r="J118" i="4" s="1"/>
  <c r="P117" i="1"/>
  <c r="Q117" i="1" s="1"/>
  <c r="K55" i="4"/>
  <c r="L55" i="4" s="1"/>
  <c r="N55" i="4"/>
  <c r="O55" i="4" s="1"/>
  <c r="P55" i="4"/>
  <c r="D37" i="4"/>
  <c r="J37" i="4" s="1"/>
  <c r="P36" i="1"/>
  <c r="Q36" i="1" s="1"/>
  <c r="P172" i="1"/>
  <c r="Q172" i="1" s="1"/>
  <c r="D173" i="4"/>
  <c r="J173" i="4" s="1"/>
  <c r="N48" i="4"/>
  <c r="O48" i="4" s="1"/>
  <c r="K48" i="4"/>
  <c r="P48" i="4"/>
  <c r="K18" i="4"/>
  <c r="L18" i="4" s="1"/>
  <c r="P18" i="4"/>
  <c r="D142" i="4"/>
  <c r="J142" i="4" s="1"/>
  <c r="P141" i="1"/>
  <c r="Q141" i="1" s="1"/>
  <c r="P30" i="1"/>
  <c r="Q30" i="1" s="1"/>
  <c r="D31" i="4"/>
  <c r="J31" i="4" s="1"/>
  <c r="P31" i="1"/>
  <c r="Q31" i="1" s="1"/>
  <c r="D32" i="4"/>
  <c r="J32" i="4" s="1"/>
  <c r="D164" i="4"/>
  <c r="J164" i="4" s="1"/>
  <c r="P163" i="1"/>
  <c r="Q163" i="1" s="1"/>
  <c r="P182" i="1"/>
  <c r="Q182" i="1" s="1"/>
  <c r="D183" i="4"/>
  <c r="J183" i="4" s="1"/>
  <c r="D169" i="4"/>
  <c r="J169" i="4" s="1"/>
  <c r="P168" i="1"/>
  <c r="Q168" i="1" s="1"/>
  <c r="D200" i="4"/>
  <c r="J200" i="4" s="1"/>
  <c r="P199" i="1"/>
  <c r="Q199" i="1" s="1"/>
  <c r="P58" i="4"/>
  <c r="P51" i="4"/>
  <c r="K58" i="4"/>
  <c r="L58" i="4" s="1"/>
  <c r="M18" i="4"/>
  <c r="K51" i="4"/>
  <c r="L51" i="4" s="1"/>
  <c r="M24" i="4"/>
  <c r="P46" i="4"/>
  <c r="K46" i="4"/>
  <c r="N46" i="4"/>
  <c r="O46" i="4" s="1"/>
  <c r="P56" i="1"/>
  <c r="Q56" i="1" s="1"/>
  <c r="D57" i="4"/>
  <c r="J57" i="4" s="1"/>
  <c r="P127" i="1"/>
  <c r="Q127" i="1" s="1"/>
  <c r="D128" i="4"/>
  <c r="J128" i="4" s="1"/>
  <c r="N18" i="4"/>
  <c r="O18" i="4" s="1"/>
  <c r="D80" i="4"/>
  <c r="J80" i="4" s="1"/>
  <c r="P79" i="1"/>
  <c r="Q79" i="1" s="1"/>
  <c r="P108" i="4"/>
  <c r="D120" i="4"/>
  <c r="J120" i="4" s="1"/>
  <c r="P119" i="1"/>
  <c r="Q119" i="1" s="1"/>
  <c r="D234" i="4"/>
  <c r="J234" i="4" s="1"/>
  <c r="P233" i="1"/>
  <c r="Q233" i="1" s="1"/>
  <c r="K232" i="4"/>
  <c r="L232" i="4" s="1"/>
  <c r="N232" i="4"/>
  <c r="O232" i="4" s="1"/>
  <c r="P232" i="4"/>
  <c r="N225" i="4"/>
  <c r="O225" i="4" s="1"/>
  <c r="K225" i="4"/>
  <c r="L225" i="4" s="1"/>
  <c r="P225" i="4"/>
  <c r="N213" i="4"/>
  <c r="O213" i="4" s="1"/>
  <c r="K213" i="4"/>
  <c r="P213" i="4"/>
  <c r="N236" i="4"/>
  <c r="O236" i="4" s="1"/>
  <c r="K236" i="4"/>
  <c r="L236" i="4" s="1"/>
  <c r="K218" i="4"/>
  <c r="L218" i="4" s="1"/>
  <c r="P236" i="4"/>
  <c r="P233" i="4"/>
  <c r="M211" i="4"/>
  <c r="N211" i="4"/>
  <c r="O211" i="4" s="1"/>
  <c r="P211" i="4"/>
  <c r="K211" i="4"/>
  <c r="L211" i="4" s="1"/>
  <c r="P218" i="4"/>
  <c r="N229" i="4"/>
  <c r="O229" i="4" s="1"/>
  <c r="K229" i="4"/>
  <c r="L229" i="4" s="1"/>
  <c r="M229" i="4" s="1"/>
  <c r="P229" i="4"/>
  <c r="N233" i="4"/>
  <c r="O233" i="4" s="1"/>
  <c r="M217" i="4"/>
  <c r="N217" i="4"/>
  <c r="O217" i="4" s="1"/>
  <c r="K217" i="4"/>
  <c r="L217" i="4" s="1"/>
  <c r="P217" i="4"/>
  <c r="K224" i="4"/>
  <c r="L224" i="4" s="1"/>
  <c r="N224" i="4"/>
  <c r="O224" i="4" s="1"/>
  <c r="P224" i="4"/>
  <c r="P215" i="4"/>
  <c r="N215" i="4"/>
  <c r="O215" i="4" s="1"/>
  <c r="M215" i="4"/>
  <c r="K215" i="4"/>
  <c r="L215" i="4" s="1"/>
  <c r="P208" i="4"/>
  <c r="M233" i="4"/>
  <c r="K231" i="4"/>
  <c r="L231" i="4" s="1"/>
  <c r="P231" i="4"/>
  <c r="P227" i="4"/>
  <c r="N227" i="4"/>
  <c r="O227" i="4" s="1"/>
  <c r="K227" i="4"/>
  <c r="L227" i="4" s="1"/>
  <c r="P230" i="4"/>
  <c r="K230" i="4"/>
  <c r="L230" i="4" s="1"/>
  <c r="N230" i="4"/>
  <c r="O230" i="4" s="1"/>
  <c r="P161" i="4"/>
  <c r="K161" i="4"/>
  <c r="L161" i="4" s="1"/>
  <c r="N161" i="4"/>
  <c r="O161" i="4" s="1"/>
  <c r="K199" i="4"/>
  <c r="L199" i="4" s="1"/>
  <c r="N199" i="4"/>
  <c r="O199" i="4" s="1"/>
  <c r="P199" i="4"/>
  <c r="N176" i="4"/>
  <c r="O176" i="4" s="1"/>
  <c r="N190" i="4"/>
  <c r="O190" i="4" s="1"/>
  <c r="K190" i="4"/>
  <c r="L190" i="4" s="1"/>
  <c r="P190" i="4"/>
  <c r="P203" i="4"/>
  <c r="K203" i="4"/>
  <c r="L203" i="4" s="1"/>
  <c r="N203" i="4"/>
  <c r="O203" i="4" s="1"/>
  <c r="P181" i="4"/>
  <c r="K181" i="4"/>
  <c r="L181" i="4" s="1"/>
  <c r="M181" i="4"/>
  <c r="N181" i="4"/>
  <c r="O181" i="4" s="1"/>
  <c r="N174" i="4"/>
  <c r="O174" i="4" s="1"/>
  <c r="K174" i="4"/>
  <c r="L174" i="4" s="1"/>
  <c r="P174" i="4"/>
  <c r="M174" i="4"/>
  <c r="K184" i="4"/>
  <c r="L184" i="4" s="1"/>
  <c r="N184" i="4"/>
  <c r="O184" i="4" s="1"/>
  <c r="P184" i="4"/>
  <c r="K176" i="4"/>
  <c r="L176" i="4" s="1"/>
  <c r="N163" i="4"/>
  <c r="O163" i="4" s="1"/>
  <c r="K163" i="4"/>
  <c r="L163" i="4" s="1"/>
  <c r="P163" i="4"/>
  <c r="M196" i="4"/>
  <c r="L196" i="4"/>
  <c r="K187" i="4"/>
  <c r="L187" i="4" s="1"/>
  <c r="M187" i="4"/>
  <c r="P187" i="4"/>
  <c r="N187" i="4"/>
  <c r="O187" i="4" s="1"/>
  <c r="P180" i="4"/>
  <c r="N180" i="4"/>
  <c r="O180" i="4" s="1"/>
  <c r="K180" i="4"/>
  <c r="K193" i="4"/>
  <c r="L193" i="4" s="1"/>
  <c r="N193" i="4"/>
  <c r="O193" i="4" s="1"/>
  <c r="P193" i="4"/>
  <c r="M167" i="4"/>
  <c r="M178" i="4"/>
  <c r="N178" i="4"/>
  <c r="O178" i="4" s="1"/>
  <c r="P178" i="4"/>
  <c r="K178" i="4"/>
  <c r="L178" i="4" s="1"/>
  <c r="N159" i="4"/>
  <c r="O159" i="4" s="1"/>
  <c r="K159" i="4"/>
  <c r="L159" i="4" s="1"/>
  <c r="P159" i="4"/>
  <c r="K191" i="4"/>
  <c r="L191" i="4" s="1"/>
  <c r="P191" i="4"/>
  <c r="N191" i="4"/>
  <c r="O191" i="4" s="1"/>
  <c r="K186" i="4"/>
  <c r="P186" i="4"/>
  <c r="L154" i="4"/>
  <c r="M154" i="4" s="1"/>
  <c r="N206" i="4"/>
  <c r="O206" i="4" s="1"/>
  <c r="N188" i="4"/>
  <c r="O188" i="4" s="1"/>
  <c r="K188" i="4"/>
  <c r="L188" i="4" s="1"/>
  <c r="M188" i="4"/>
  <c r="P188" i="4"/>
  <c r="K197" i="4"/>
  <c r="L197" i="4" s="1"/>
  <c r="N197" i="4"/>
  <c r="O197" i="4" s="1"/>
  <c r="P197" i="4"/>
  <c r="N143" i="4"/>
  <c r="O143" i="4" s="1"/>
  <c r="K143" i="4"/>
  <c r="L143" i="4" s="1"/>
  <c r="P143" i="4"/>
  <c r="N121" i="4"/>
  <c r="O121" i="4" s="1"/>
  <c r="K121" i="4"/>
  <c r="L121" i="4" s="1"/>
  <c r="P121" i="4"/>
  <c r="P138" i="4"/>
  <c r="N138" i="4"/>
  <c r="O138" i="4" s="1"/>
  <c r="K138" i="4"/>
  <c r="L138" i="4" s="1"/>
  <c r="K148" i="4"/>
  <c r="L148" i="4" s="1"/>
  <c r="P148" i="4"/>
  <c r="N148" i="4"/>
  <c r="O148" i="4" s="1"/>
  <c r="P114" i="4"/>
  <c r="K114" i="4"/>
  <c r="N114" i="4"/>
  <c r="O114" i="4" s="1"/>
  <c r="P136" i="4"/>
  <c r="K136" i="4"/>
  <c r="N136" i="4"/>
  <c r="O136" i="4" s="1"/>
  <c r="K125" i="4"/>
  <c r="L125" i="4" s="1"/>
  <c r="M125" i="4" s="1"/>
  <c r="P125" i="4"/>
  <c r="N125" i="4"/>
  <c r="O125" i="4" s="1"/>
  <c r="P124" i="4"/>
  <c r="N124" i="4"/>
  <c r="O124" i="4" s="1"/>
  <c r="K124" i="4"/>
  <c r="K150" i="4"/>
  <c r="L150" i="4" s="1"/>
  <c r="N150" i="4"/>
  <c r="O150" i="4" s="1"/>
  <c r="P150" i="4"/>
  <c r="K126" i="4"/>
  <c r="L126" i="4" s="1"/>
  <c r="P126" i="4"/>
  <c r="N126" i="4"/>
  <c r="O126" i="4" s="1"/>
  <c r="N141" i="4"/>
  <c r="O141" i="4" s="1"/>
  <c r="K141" i="4"/>
  <c r="L141" i="4" s="1"/>
  <c r="P141" i="4"/>
  <c r="L129" i="4"/>
  <c r="M129" i="4" s="1"/>
  <c r="P116" i="4"/>
  <c r="K116" i="4"/>
  <c r="L116" i="4" s="1"/>
  <c r="N116" i="4"/>
  <c r="O116" i="4" s="1"/>
  <c r="K123" i="4"/>
  <c r="L123" i="4" s="1"/>
  <c r="P123" i="4"/>
  <c r="N123" i="4"/>
  <c r="O123" i="4" s="1"/>
  <c r="K145" i="4"/>
  <c r="L145" i="4" s="1"/>
  <c r="N145" i="4"/>
  <c r="O145" i="4" s="1"/>
  <c r="P145" i="4"/>
  <c r="M127" i="4"/>
  <c r="N137" i="4"/>
  <c r="O137" i="4" s="1"/>
  <c r="N117" i="4"/>
  <c r="O117" i="4" s="1"/>
  <c r="P117" i="4"/>
  <c r="K117" i="4"/>
  <c r="L117" i="4" s="1"/>
  <c r="K132" i="4"/>
  <c r="L132" i="4" s="1"/>
  <c r="M144" i="4"/>
  <c r="M133" i="4"/>
  <c r="M137" i="4"/>
  <c r="N147" i="4"/>
  <c r="O147" i="4" s="1"/>
  <c r="P147" i="4"/>
  <c r="K147" i="4"/>
  <c r="L147" i="4" s="1"/>
  <c r="P140" i="4"/>
  <c r="K140" i="4"/>
  <c r="L140" i="4" s="1"/>
  <c r="N140" i="4"/>
  <c r="O140" i="4" s="1"/>
  <c r="P137" i="4"/>
  <c r="N113" i="4"/>
  <c r="O113" i="4" s="1"/>
  <c r="P113" i="4"/>
  <c r="K113" i="4"/>
  <c r="P33" i="4"/>
  <c r="N33" i="4"/>
  <c r="O33" i="4" s="1"/>
  <c r="K33" i="4"/>
  <c r="L33" i="4" s="1"/>
  <c r="N45" i="4"/>
  <c r="O45" i="4" s="1"/>
  <c r="K45" i="4"/>
  <c r="L45" i="4" s="1"/>
  <c r="P45" i="4"/>
  <c r="K8" i="4"/>
  <c r="L8" i="4" s="1"/>
  <c r="N8" i="4"/>
  <c r="O8" i="4" s="1"/>
  <c r="P8" i="4"/>
  <c r="P56" i="4"/>
  <c r="N56" i="4"/>
  <c r="O56" i="4" s="1"/>
  <c r="K56" i="4"/>
  <c r="L56" i="4" s="1"/>
  <c r="K68" i="4"/>
  <c r="L68" i="4" s="1"/>
  <c r="N68" i="4"/>
  <c r="O68" i="4" s="1"/>
  <c r="P68" i="4"/>
  <c r="N49" i="4"/>
  <c r="O49" i="4" s="1"/>
  <c r="P49" i="4"/>
  <c r="K49" i="4"/>
  <c r="L49" i="4" s="1"/>
  <c r="P104" i="4"/>
  <c r="N104" i="4"/>
  <c r="O104" i="4" s="1"/>
  <c r="K104" i="4"/>
  <c r="L104" i="4" s="1"/>
  <c r="K81" i="4"/>
  <c r="L81" i="4" s="1"/>
  <c r="P81" i="4"/>
  <c r="N90" i="4"/>
  <c r="O90" i="4" s="1"/>
  <c r="K90" i="4"/>
  <c r="P90" i="4"/>
  <c r="P70" i="1"/>
  <c r="Q70" i="1" s="1"/>
  <c r="D71" i="4"/>
  <c r="J71" i="4" s="1"/>
  <c r="N84" i="4"/>
  <c r="O84" i="4" s="1"/>
  <c r="P84" i="4"/>
  <c r="K84" i="4"/>
  <c r="L84" i="4" s="1"/>
  <c r="K52" i="4"/>
  <c r="L52" i="4" s="1"/>
  <c r="N52" i="4"/>
  <c r="O52" i="4" s="1"/>
  <c r="P52" i="4"/>
  <c r="K105" i="4"/>
  <c r="L105" i="4" s="1"/>
  <c r="P105" i="4"/>
  <c r="N105" i="4"/>
  <c r="O105" i="4" s="1"/>
  <c r="K96" i="4"/>
  <c r="L96" i="4" s="1"/>
  <c r="N96" i="4"/>
  <c r="O96" i="4" s="1"/>
  <c r="P96" i="4"/>
  <c r="K60" i="4"/>
  <c r="L60" i="4" s="1"/>
  <c r="M60" i="4"/>
  <c r="N60" i="4"/>
  <c r="O60" i="4" s="1"/>
  <c r="P60" i="4"/>
  <c r="P13" i="4"/>
  <c r="K13" i="4"/>
  <c r="L13" i="4" s="1"/>
  <c r="N13" i="4"/>
  <c r="O13" i="4" s="1"/>
  <c r="N12" i="4"/>
  <c r="O12" i="4" s="1"/>
  <c r="K25" i="4"/>
  <c r="L25" i="4" s="1"/>
  <c r="P25" i="4"/>
  <c r="N25" i="4"/>
  <c r="O25" i="4" s="1"/>
  <c r="P54" i="4"/>
  <c r="K54" i="4"/>
  <c r="L54" i="4" s="1"/>
  <c r="N54" i="4"/>
  <c r="O54" i="4" s="1"/>
  <c r="L103" i="4"/>
  <c r="M103" i="4" s="1"/>
  <c r="K61" i="4"/>
  <c r="L61" i="4" s="1"/>
  <c r="M61" i="4" s="1"/>
  <c r="P61" i="4"/>
  <c r="N61" i="4"/>
  <c r="O61" i="4" s="1"/>
  <c r="K27" i="4"/>
  <c r="L27" i="4" s="1"/>
  <c r="M12" i="4"/>
  <c r="P65" i="4"/>
  <c r="N65" i="4"/>
  <c r="O65" i="4" s="1"/>
  <c r="K65" i="4"/>
  <c r="P85" i="1"/>
  <c r="Q85" i="1" s="1"/>
  <c r="D86" i="4"/>
  <c r="J86" i="4" s="1"/>
  <c r="P12" i="4"/>
  <c r="P41" i="4"/>
  <c r="K41" i="4"/>
  <c r="L41" i="4" s="1"/>
  <c r="M41" i="4"/>
  <c r="N41" i="4"/>
  <c r="O41" i="4" s="1"/>
  <c r="P37" i="1"/>
  <c r="Q37" i="1" s="1"/>
  <c r="D38" i="4"/>
  <c r="J38" i="4" s="1"/>
  <c r="P16" i="4"/>
  <c r="K16" i="4"/>
  <c r="N16" i="4"/>
  <c r="O16" i="4" s="1"/>
  <c r="K74" i="4"/>
  <c r="L74" i="4" s="1"/>
  <c r="P74" i="4"/>
  <c r="N74" i="4"/>
  <c r="O74" i="4" s="1"/>
  <c r="N109" i="4"/>
  <c r="O109" i="4" s="1"/>
  <c r="N27" i="4"/>
  <c r="O27" i="4" s="1"/>
  <c r="M109" i="4"/>
  <c r="M102" i="4"/>
  <c r="K108" i="4"/>
  <c r="L108" i="4" s="1"/>
  <c r="P110" i="1"/>
  <c r="Q110" i="1" s="1"/>
  <c r="D111" i="4"/>
  <c r="J111" i="4" s="1"/>
  <c r="K111" i="4" s="1"/>
  <c r="L111" i="4" s="1"/>
  <c r="P106" i="1"/>
  <c r="Q106" i="1" s="1"/>
  <c r="D107" i="4"/>
  <c r="J107" i="4" s="1"/>
  <c r="N72" i="4"/>
  <c r="O72" i="4" s="1"/>
  <c r="P72" i="4"/>
  <c r="K72" i="4"/>
  <c r="L72" i="4" s="1"/>
  <c r="N70" i="4"/>
  <c r="O70" i="4" s="1"/>
  <c r="P70" i="4"/>
  <c r="K70" i="4"/>
  <c r="L70" i="4" s="1"/>
  <c r="K91" i="4"/>
  <c r="N91" i="4"/>
  <c r="O91" i="4" s="1"/>
  <c r="P91" i="4"/>
  <c r="K43" i="4"/>
  <c r="L43" i="4" s="1"/>
  <c r="N43" i="4"/>
  <c r="O43" i="4" s="1"/>
  <c r="P43" i="4"/>
  <c r="N87" i="4"/>
  <c r="O87" i="4" s="1"/>
  <c r="P87" i="4"/>
  <c r="K87" i="4"/>
  <c r="L87" i="4" s="1"/>
  <c r="P109" i="4"/>
  <c r="P53" i="4"/>
  <c r="K53" i="4"/>
  <c r="L53" i="4" s="1"/>
  <c r="N53" i="4"/>
  <c r="O53" i="4" s="1"/>
  <c r="K100" i="4"/>
  <c r="L100" i="4" s="1"/>
  <c r="M100" i="4" s="1"/>
  <c r="P100" i="4"/>
  <c r="N100" i="4"/>
  <c r="O100" i="4" s="1"/>
  <c r="N21" i="4"/>
  <c r="O21" i="4" s="1"/>
  <c r="P21" i="4"/>
  <c r="K21" i="4"/>
  <c r="N81" i="4"/>
  <c r="O81" i="4" s="1"/>
  <c r="P22" i="4"/>
  <c r="K22" i="4"/>
  <c r="L22" i="4" s="1"/>
  <c r="K97" i="4"/>
  <c r="P97" i="4"/>
  <c r="N97" i="4"/>
  <c r="O97" i="4" s="1"/>
  <c r="M19" i="4"/>
  <c r="K40" i="4"/>
  <c r="L40" i="4" s="1"/>
  <c r="P40" i="4"/>
  <c r="N40" i="4"/>
  <c r="O40" i="4" s="1"/>
  <c r="K98" i="4"/>
  <c r="P98" i="4"/>
  <c r="N98" i="4"/>
  <c r="O98" i="4" s="1"/>
  <c r="K78" i="4"/>
  <c r="L78" i="4" s="1"/>
  <c r="N78" i="4"/>
  <c r="O78" i="4" s="1"/>
  <c r="P78" i="4"/>
  <c r="N73" i="4"/>
  <c r="O73" i="4" s="1"/>
  <c r="K73" i="4"/>
  <c r="P73" i="4"/>
  <c r="P82" i="1"/>
  <c r="Q82" i="1" s="1"/>
  <c r="D83" i="4"/>
  <c r="J83" i="4" s="1"/>
  <c r="N83" i="4" s="1"/>
  <c r="O83" i="4" s="1"/>
  <c r="K94" i="4"/>
  <c r="L94" i="4" s="1"/>
  <c r="N94" i="4"/>
  <c r="O94" i="4" s="1"/>
  <c r="P94" i="4"/>
  <c r="N14" i="4"/>
  <c r="O14" i="4" s="1"/>
  <c r="P14" i="4"/>
  <c r="K14" i="4"/>
  <c r="L14" i="4" s="1"/>
  <c r="M206" i="4"/>
  <c r="M89" i="4"/>
  <c r="M194" i="4"/>
  <c r="M155" i="4"/>
  <c r="P17" i="4"/>
  <c r="K17" i="4"/>
  <c r="L17" i="4" s="1"/>
  <c r="N17" i="4"/>
  <c r="O17" i="4" s="1"/>
  <c r="M223" i="4"/>
  <c r="K182" i="4"/>
  <c r="L182" i="4" s="1"/>
  <c r="N182" i="4"/>
  <c r="O182" i="4" s="1"/>
  <c r="P182" i="4"/>
  <c r="K42" i="4"/>
  <c r="L42" i="4" s="1"/>
  <c r="N42" i="4"/>
  <c r="O42" i="4" s="1"/>
  <c r="P42" i="4"/>
  <c r="M50" i="4"/>
  <c r="K198" i="4"/>
  <c r="L198" i="4" s="1"/>
  <c r="N198" i="4"/>
  <c r="O198" i="4" s="1"/>
  <c r="P198" i="4"/>
  <c r="K119" i="4"/>
  <c r="L119" i="4" s="1"/>
  <c r="P119" i="4"/>
  <c r="N119" i="4"/>
  <c r="O119" i="4" s="1"/>
  <c r="M26" i="4"/>
  <c r="K207" i="4"/>
  <c r="L207" i="4" s="1"/>
  <c r="M207" i="4"/>
  <c r="N207" i="4"/>
  <c r="O207" i="4" s="1"/>
  <c r="P207" i="4"/>
  <c r="P135" i="4"/>
  <c r="K135" i="4"/>
  <c r="L135" i="4" s="1"/>
  <c r="N135" i="4"/>
  <c r="O135" i="4" s="1"/>
  <c r="P29" i="4"/>
  <c r="K29" i="4"/>
  <c r="L29" i="4" s="1"/>
  <c r="N29" i="4"/>
  <c r="O29" i="4" s="1"/>
  <c r="N195" i="4"/>
  <c r="O195" i="4" s="1"/>
  <c r="P195" i="4"/>
  <c r="K195" i="4"/>
  <c r="L195" i="4" s="1"/>
  <c r="P101" i="4"/>
  <c r="N101" i="4"/>
  <c r="O101" i="4" s="1"/>
  <c r="K101" i="4"/>
  <c r="L101" i="4" s="1"/>
  <c r="K69" i="4"/>
  <c r="L69" i="4" s="1"/>
  <c r="P69" i="4"/>
  <c r="N69" i="4"/>
  <c r="O69" i="4" s="1"/>
  <c r="P9" i="4"/>
  <c r="K9" i="4"/>
  <c r="L9" i="4" s="1"/>
  <c r="N9" i="4"/>
  <c r="O9" i="4" s="1"/>
  <c r="K11" i="4"/>
  <c r="L11" i="4" s="1"/>
  <c r="P11" i="4"/>
  <c r="N11" i="4"/>
  <c r="O11" i="4" s="1"/>
  <c r="N15" i="4"/>
  <c r="O15" i="4" s="1"/>
  <c r="P15" i="4"/>
  <c r="K15" i="4"/>
  <c r="L15" i="4" s="1"/>
  <c r="P166" i="4"/>
  <c r="K166" i="4"/>
  <c r="L166" i="4" s="1"/>
  <c r="N166" i="4"/>
  <c r="O166" i="4" s="1"/>
  <c r="N165" i="4"/>
  <c r="O165" i="4" s="1"/>
  <c r="P165" i="4"/>
  <c r="K165" i="4"/>
  <c r="L165" i="4" s="1"/>
  <c r="K171" i="4"/>
  <c r="L171" i="4" s="1"/>
  <c r="N171" i="4"/>
  <c r="O171" i="4" s="1"/>
  <c r="K36" i="4"/>
  <c r="L36" i="4" s="1"/>
  <c r="M36" i="4"/>
  <c r="N36" i="4"/>
  <c r="O36" i="4" s="1"/>
  <c r="P36" i="4"/>
  <c r="P139" i="4"/>
  <c r="K139" i="4"/>
  <c r="L139" i="4" s="1"/>
  <c r="N139" i="4"/>
  <c r="O139" i="4" s="1"/>
  <c r="K10" i="4"/>
  <c r="L10" i="4" s="1"/>
  <c r="P10" i="4"/>
  <c r="N10" i="4"/>
  <c r="O10" i="4" s="1"/>
  <c r="K82" i="4"/>
  <c r="L82" i="4" s="1"/>
  <c r="N82" i="4"/>
  <c r="O82" i="4" s="1"/>
  <c r="P82" i="4"/>
  <c r="K212" i="4"/>
  <c r="L212" i="4" s="1"/>
  <c r="N212" i="4"/>
  <c r="O212" i="4" s="1"/>
  <c r="P212" i="4"/>
  <c r="M95" i="4"/>
  <c r="K88" i="4"/>
  <c r="L88" i="4" s="1"/>
  <c r="N88" i="4"/>
  <c r="O88" i="4" s="1"/>
  <c r="P88" i="4"/>
  <c r="K23" i="4"/>
  <c r="L23" i="4" s="1"/>
  <c r="N23" i="4"/>
  <c r="O23" i="4" s="1"/>
  <c r="P23" i="4"/>
  <c r="M30" i="4"/>
  <c r="P115" i="4"/>
  <c r="K115" i="4"/>
  <c r="L115" i="4" s="1"/>
  <c r="M115" i="4"/>
  <c r="N115" i="4"/>
  <c r="O115" i="4" s="1"/>
  <c r="P202" i="4"/>
  <c r="K202" i="4"/>
  <c r="L202" i="4" s="1"/>
  <c r="N202" i="4"/>
  <c r="O202" i="4" s="1"/>
  <c r="N62" i="4"/>
  <c r="O62" i="4" s="1"/>
  <c r="P62" i="4"/>
  <c r="K62" i="4"/>
  <c r="L62" i="4" s="1"/>
  <c r="K93" i="4"/>
  <c r="L93" i="4" s="1"/>
  <c r="N93" i="4"/>
  <c r="O93" i="4" s="1"/>
  <c r="P93" i="4"/>
  <c r="K170" i="4"/>
  <c r="L170" i="4" s="1"/>
  <c r="N170" i="4"/>
  <c r="O170" i="4" s="1"/>
  <c r="P170" i="4"/>
  <c r="M226" i="4"/>
  <c r="M153" i="4"/>
  <c r="P216" i="4" l="1"/>
  <c r="N216" i="4"/>
  <c r="O216" i="4" s="1"/>
  <c r="K216" i="4"/>
  <c r="M176" i="4"/>
  <c r="M148" i="4"/>
  <c r="M235" i="4"/>
  <c r="M116" i="4"/>
  <c r="M236" i="4"/>
  <c r="M197" i="4"/>
  <c r="L186" i="4"/>
  <c r="M186" i="4"/>
  <c r="L213" i="4"/>
  <c r="M213" i="4"/>
  <c r="M202" i="4"/>
  <c r="M182" i="4"/>
  <c r="M191" i="4"/>
  <c r="M193" i="4"/>
  <c r="M227" i="4"/>
  <c r="M225" i="4"/>
  <c r="M222" i="4"/>
  <c r="M149" i="4"/>
  <c r="M210" i="4"/>
  <c r="M231" i="4"/>
  <c r="M170" i="4"/>
  <c r="M94" i="4"/>
  <c r="M159" i="4"/>
  <c r="M199" i="4"/>
  <c r="M131" i="4"/>
  <c r="M224" i="4"/>
  <c r="M59" i="4"/>
  <c r="L228" i="4"/>
  <c r="M228" i="4"/>
  <c r="M203" i="4"/>
  <c r="M105" i="4"/>
  <c r="M42" i="4"/>
  <c r="M190" i="4"/>
  <c r="M184" i="4"/>
  <c r="M232" i="4"/>
  <c r="N47" i="4"/>
  <c r="O47" i="4" s="1"/>
  <c r="K47" i="4"/>
  <c r="L47" i="4" s="1"/>
  <c r="P47" i="4"/>
  <c r="M230" i="4"/>
  <c r="M218" i="4"/>
  <c r="K219" i="4"/>
  <c r="L219" i="4" s="1"/>
  <c r="N219" i="4"/>
  <c r="O219" i="4" s="1"/>
  <c r="P219" i="4"/>
  <c r="K221" i="4"/>
  <c r="L221" i="4" s="1"/>
  <c r="P221" i="4"/>
  <c r="N221" i="4"/>
  <c r="O221" i="4" s="1"/>
  <c r="M221" i="4"/>
  <c r="M29" i="4"/>
  <c r="P146" i="4"/>
  <c r="N112" i="4"/>
  <c r="O112" i="4" s="1"/>
  <c r="K112" i="4"/>
  <c r="P112" i="4"/>
  <c r="N175" i="4"/>
  <c r="O175" i="4" s="1"/>
  <c r="P175" i="4"/>
  <c r="K175" i="4"/>
  <c r="L175" i="4" s="1"/>
  <c r="M175" i="4"/>
  <c r="M79" i="4"/>
  <c r="P35" i="4"/>
  <c r="K35" i="4"/>
  <c r="N35" i="4"/>
  <c r="O35" i="4" s="1"/>
  <c r="K183" i="4"/>
  <c r="L183" i="4" s="1"/>
  <c r="M20" i="4"/>
  <c r="M55" i="4"/>
  <c r="M145" i="4"/>
  <c r="K146" i="4"/>
  <c r="L146" i="4" s="1"/>
  <c r="K156" i="4"/>
  <c r="L156" i="4" s="1"/>
  <c r="N156" i="4"/>
  <c r="O156" i="4" s="1"/>
  <c r="P156" i="4"/>
  <c r="M140" i="4"/>
  <c r="K76" i="4"/>
  <c r="L76" i="4" s="1"/>
  <c r="M76" i="4"/>
  <c r="N76" i="4"/>
  <c r="O76" i="4" s="1"/>
  <c r="P76" i="4"/>
  <c r="M40" i="4"/>
  <c r="P220" i="4"/>
  <c r="N220" i="4"/>
  <c r="O220" i="4" s="1"/>
  <c r="K220" i="4"/>
  <c r="L220" i="4" s="1"/>
  <c r="M220" i="4" s="1"/>
  <c r="M11" i="4"/>
  <c r="K64" i="4"/>
  <c r="N64" i="4"/>
  <c r="O64" i="4" s="1"/>
  <c r="P64" i="4"/>
  <c r="P77" i="4"/>
  <c r="N77" i="4"/>
  <c r="O77" i="4" s="1"/>
  <c r="K77" i="4"/>
  <c r="K110" i="4"/>
  <c r="L110" i="4" s="1"/>
  <c r="P110" i="4"/>
  <c r="N110" i="4"/>
  <c r="O110" i="4" s="1"/>
  <c r="N183" i="4"/>
  <c r="O183" i="4" s="1"/>
  <c r="M53" i="4"/>
  <c r="M13" i="4"/>
  <c r="K75" i="4"/>
  <c r="L75" i="4" s="1"/>
  <c r="N75" i="4"/>
  <c r="O75" i="4" s="1"/>
  <c r="P75" i="4"/>
  <c r="P39" i="4"/>
  <c r="N39" i="4"/>
  <c r="O39" i="4" s="1"/>
  <c r="K39" i="4"/>
  <c r="L39" i="4" s="1"/>
  <c r="P183" i="4"/>
  <c r="K134" i="4"/>
  <c r="L134" i="4" s="1"/>
  <c r="N134" i="4"/>
  <c r="O134" i="4" s="1"/>
  <c r="M134" i="4"/>
  <c r="P134" i="4"/>
  <c r="K158" i="4"/>
  <c r="L158" i="4" s="1"/>
  <c r="M158" i="4"/>
  <c r="N158" i="4"/>
  <c r="O158" i="4" s="1"/>
  <c r="P158" i="4"/>
  <c r="M56" i="4"/>
  <c r="K151" i="4"/>
  <c r="L151" i="4" s="1"/>
  <c r="P151" i="4"/>
  <c r="N151" i="4"/>
  <c r="O151" i="4" s="1"/>
  <c r="N185" i="4"/>
  <c r="O185" i="4" s="1"/>
  <c r="P185" i="4"/>
  <c r="K185" i="4"/>
  <c r="L185" i="4" s="1"/>
  <c r="M10" i="4"/>
  <c r="M165" i="4"/>
  <c r="M150" i="4"/>
  <c r="P192" i="4"/>
  <c r="N192" i="4"/>
  <c r="O192" i="4" s="1"/>
  <c r="K192" i="4"/>
  <c r="L192" i="4" s="1"/>
  <c r="M88" i="4"/>
  <c r="M161" i="4"/>
  <c r="P179" i="4"/>
  <c r="M179" i="4"/>
  <c r="N179" i="4"/>
  <c r="O179" i="4" s="1"/>
  <c r="K179" i="4"/>
  <c r="L179" i="4" s="1"/>
  <c r="M119" i="4"/>
  <c r="M126" i="4"/>
  <c r="P120" i="4"/>
  <c r="K120" i="4"/>
  <c r="L120" i="4" s="1"/>
  <c r="N120" i="4"/>
  <c r="O120" i="4" s="1"/>
  <c r="M54" i="4"/>
  <c r="M163" i="4"/>
  <c r="K164" i="4"/>
  <c r="L164" i="4" s="1"/>
  <c r="P164" i="4"/>
  <c r="N164" i="4"/>
  <c r="O164" i="4" s="1"/>
  <c r="P173" i="4"/>
  <c r="K173" i="4"/>
  <c r="L173" i="4" s="1"/>
  <c r="M173" i="4"/>
  <c r="N173" i="4"/>
  <c r="O173" i="4" s="1"/>
  <c r="K67" i="4"/>
  <c r="L67" i="4" s="1"/>
  <c r="M67" i="4" s="1"/>
  <c r="P67" i="4"/>
  <c r="N67" i="4"/>
  <c r="O67" i="4" s="1"/>
  <c r="K214" i="4"/>
  <c r="L214" i="4" s="1"/>
  <c r="N214" i="4"/>
  <c r="O214" i="4" s="1"/>
  <c r="P214" i="4"/>
  <c r="M214" i="4"/>
  <c r="K31" i="4"/>
  <c r="L31" i="4" s="1"/>
  <c r="N31" i="4"/>
  <c r="O31" i="4" s="1"/>
  <c r="P31" i="4"/>
  <c r="K37" i="4"/>
  <c r="N37" i="4"/>
  <c r="O37" i="4" s="1"/>
  <c r="P37" i="4"/>
  <c r="M70" i="4"/>
  <c r="P128" i="4"/>
  <c r="K128" i="4"/>
  <c r="L128" i="4" s="1"/>
  <c r="N128" i="4"/>
  <c r="O128" i="4" s="1"/>
  <c r="L28" i="4"/>
  <c r="M28" i="4"/>
  <c r="M51" i="4"/>
  <c r="P111" i="4"/>
  <c r="M52" i="4"/>
  <c r="M49" i="4"/>
  <c r="N204" i="4"/>
  <c r="O204" i="4" s="1"/>
  <c r="P204" i="4"/>
  <c r="K204" i="4"/>
  <c r="L204" i="4" s="1"/>
  <c r="M204" i="4"/>
  <c r="M130" i="4"/>
  <c r="M139" i="4"/>
  <c r="N111" i="4"/>
  <c r="O111" i="4" s="1"/>
  <c r="M108" i="4"/>
  <c r="K57" i="4"/>
  <c r="L57" i="4" s="1"/>
  <c r="N57" i="4"/>
  <c r="O57" i="4" s="1"/>
  <c r="P57" i="4"/>
  <c r="K200" i="4"/>
  <c r="L200" i="4" s="1"/>
  <c r="P200" i="4"/>
  <c r="N200" i="4"/>
  <c r="O200" i="4" s="1"/>
  <c r="M200" i="4"/>
  <c r="K142" i="4"/>
  <c r="L142" i="4" s="1"/>
  <c r="N142" i="4"/>
  <c r="O142" i="4" s="1"/>
  <c r="P142" i="4"/>
  <c r="K44" i="4"/>
  <c r="L44" i="4" s="1"/>
  <c r="N44" i="4"/>
  <c r="O44" i="4" s="1"/>
  <c r="P44" i="4"/>
  <c r="P32" i="4"/>
  <c r="N32" i="4"/>
  <c r="O32" i="4" s="1"/>
  <c r="K32" i="4"/>
  <c r="L32" i="4" s="1"/>
  <c r="P80" i="4"/>
  <c r="K80" i="4"/>
  <c r="L80" i="4" s="1"/>
  <c r="N80" i="4"/>
  <c r="O80" i="4" s="1"/>
  <c r="P169" i="4"/>
  <c r="K169" i="4"/>
  <c r="L169" i="4" s="1"/>
  <c r="M169" i="4"/>
  <c r="N169" i="4"/>
  <c r="O169" i="4" s="1"/>
  <c r="M45" i="4"/>
  <c r="M82" i="4"/>
  <c r="M27" i="4"/>
  <c r="M104" i="4"/>
  <c r="P83" i="4"/>
  <c r="M74" i="4"/>
  <c r="K234" i="4"/>
  <c r="L234" i="4" s="1"/>
  <c r="M234" i="4"/>
  <c r="P234" i="4"/>
  <c r="N234" i="4"/>
  <c r="O234" i="4" s="1"/>
  <c r="L46" i="4"/>
  <c r="M46" i="4" s="1"/>
  <c r="M23" i="4"/>
  <c r="M166" i="4"/>
  <c r="M132" i="4"/>
  <c r="M81" i="4"/>
  <c r="L48" i="4"/>
  <c r="M48" i="4" s="1"/>
  <c r="P118" i="4"/>
  <c r="N118" i="4"/>
  <c r="O118" i="4" s="1"/>
  <c r="K118" i="4"/>
  <c r="L118" i="4" s="1"/>
  <c r="M118" i="4"/>
  <c r="K209" i="4"/>
  <c r="L209" i="4" s="1"/>
  <c r="P209" i="4"/>
  <c r="N209" i="4"/>
  <c r="O209" i="4" s="1"/>
  <c r="M58" i="4"/>
  <c r="L180" i="4"/>
  <c r="M180" i="4" s="1"/>
  <c r="M117" i="4"/>
  <c r="M138" i="4"/>
  <c r="L136" i="4"/>
  <c r="M136" i="4"/>
  <c r="M121" i="4"/>
  <c r="L113" i="4"/>
  <c r="M113" i="4"/>
  <c r="L114" i="4"/>
  <c r="M114" i="4" s="1"/>
  <c r="M147" i="4"/>
  <c r="M123" i="4"/>
  <c r="M143" i="4"/>
  <c r="L124" i="4"/>
  <c r="M124" i="4" s="1"/>
  <c r="M141" i="4"/>
  <c r="K38" i="4"/>
  <c r="L38" i="4" s="1"/>
  <c r="P38" i="4"/>
  <c r="M38" i="4"/>
  <c r="N38" i="4"/>
  <c r="O38" i="4" s="1"/>
  <c r="M69" i="4"/>
  <c r="M17" i="4"/>
  <c r="M78" i="4"/>
  <c r="L21" i="4"/>
  <c r="M21" i="4"/>
  <c r="M25" i="4"/>
  <c r="M8" i="4"/>
  <c r="M96" i="4"/>
  <c r="P71" i="4"/>
  <c r="N71" i="4"/>
  <c r="O71" i="4" s="1"/>
  <c r="K71" i="4"/>
  <c r="M72" i="4"/>
  <c r="L98" i="4"/>
  <c r="M98" i="4"/>
  <c r="N107" i="4"/>
  <c r="O107" i="4" s="1"/>
  <c r="P107" i="4"/>
  <c r="K107" i="4"/>
  <c r="L107" i="4" s="1"/>
  <c r="L90" i="4"/>
  <c r="M90" i="4" s="1"/>
  <c r="K86" i="4"/>
  <c r="L86" i="4" s="1"/>
  <c r="N86" i="4"/>
  <c r="O86" i="4" s="1"/>
  <c r="P86" i="4"/>
  <c r="M86" i="4"/>
  <c r="M68" i="4"/>
  <c r="M22" i="4"/>
  <c r="M101" i="4"/>
  <c r="M9" i="4"/>
  <c r="K83" i="4"/>
  <c r="L83" i="4" s="1"/>
  <c r="M43" i="4"/>
  <c r="L91" i="4"/>
  <c r="M91" i="4" s="1"/>
  <c r="L65" i="4"/>
  <c r="M65" i="4" s="1"/>
  <c r="L73" i="4"/>
  <c r="M73" i="4" s="1"/>
  <c r="M84" i="4"/>
  <c r="L16" i="4"/>
  <c r="M16" i="4"/>
  <c r="M33" i="4"/>
  <c r="L97" i="4"/>
  <c r="M97" i="4"/>
  <c r="M87" i="4"/>
  <c r="M135" i="4"/>
  <c r="M198" i="4"/>
  <c r="M212" i="4"/>
  <c r="M62" i="4"/>
  <c r="M111" i="4"/>
  <c r="M15" i="4"/>
  <c r="M195" i="4"/>
  <c r="M93" i="4"/>
  <c r="M171" i="4"/>
  <c r="M14" i="4"/>
  <c r="M219" i="4" l="1"/>
  <c r="M183" i="4"/>
  <c r="M192" i="4"/>
  <c r="M47" i="4"/>
  <c r="M57" i="4"/>
  <c r="M156" i="4"/>
  <c r="L216" i="4"/>
  <c r="M216" i="4"/>
  <c r="M44" i="4"/>
  <c r="M31" i="4"/>
  <c r="M185" i="4"/>
  <c r="M209" i="4"/>
  <c r="M146" i="4"/>
  <c r="L112" i="4"/>
  <c r="M112" i="4"/>
  <c r="M75" i="4"/>
  <c r="L35" i="4"/>
  <c r="M35" i="4"/>
  <c r="M120" i="4"/>
  <c r="M151" i="4"/>
  <c r="M39" i="4"/>
  <c r="M110" i="4"/>
  <c r="M128" i="4"/>
  <c r="L64" i="4"/>
  <c r="M64" i="4" s="1"/>
  <c r="L77" i="4"/>
  <c r="M77" i="4"/>
  <c r="M142" i="4"/>
  <c r="M164" i="4"/>
  <c r="L37" i="4"/>
  <c r="M37" i="4"/>
  <c r="M32" i="4"/>
  <c r="M80" i="4"/>
  <c r="M107" i="4"/>
  <c r="M83" i="4"/>
  <c r="L71" i="4"/>
  <c r="M71" i="4" s="1"/>
</calcChain>
</file>

<file path=xl/sharedStrings.xml><?xml version="1.0" encoding="utf-8"?>
<sst xmlns="http://schemas.openxmlformats.org/spreadsheetml/2006/main" count="2110" uniqueCount="333">
  <si>
    <t>pK1</t>
  </si>
  <si>
    <t>K1</t>
  </si>
  <si>
    <t>ideal gas constant</t>
  </si>
  <si>
    <t>UNITS</t>
  </si>
  <si>
    <t>ppm</t>
  </si>
  <si>
    <t>atm</t>
  </si>
  <si>
    <t>pK2</t>
  </si>
  <si>
    <t>K2</t>
  </si>
  <si>
    <t>R</t>
  </si>
  <si>
    <t>equil atm pCO2</t>
  </si>
  <si>
    <t>From Weiss 1974</t>
  </si>
  <si>
    <t>pH units</t>
  </si>
  <si>
    <t>C</t>
  </si>
  <si>
    <t>K</t>
  </si>
  <si>
    <t>pH (lab)</t>
  </si>
  <si>
    <t>H+ (lab)</t>
  </si>
  <si>
    <t>CTOT (in orig water sample)</t>
  </si>
  <si>
    <t>T (field)</t>
  </si>
  <si>
    <t>KH (field)</t>
  </si>
  <si>
    <t>K1 (field)</t>
  </si>
  <si>
    <t>K2 (field)</t>
  </si>
  <si>
    <t>H2CO3* (field)</t>
  </si>
  <si>
    <t>HCO3- (field)</t>
  </si>
  <si>
    <t>CO32- (field)</t>
  </si>
  <si>
    <t>CTOT (field, modeled)</t>
  </si>
  <si>
    <t>pCO2 (field, modeled)</t>
  </si>
  <si>
    <t>epCO2</t>
  </si>
  <si>
    <t>water vol (mL)</t>
  </si>
  <si>
    <t>headspace vol (mL)</t>
  </si>
  <si>
    <t>(Note these pk values are NOT currently used - use instead temperature dependant equations as seen below)</t>
  </si>
  <si>
    <t>blue</t>
  </si>
  <si>
    <t>Sheet</t>
  </si>
  <si>
    <t>Variable</t>
  </si>
  <si>
    <t>Volumes</t>
  </si>
  <si>
    <t>Bottle Nr</t>
  </si>
  <si>
    <t>Units</t>
  </si>
  <si>
    <t>mL</t>
  </si>
  <si>
    <t>Headspace volume</t>
  </si>
  <si>
    <t>Serial Nr</t>
  </si>
  <si>
    <t>pH</t>
  </si>
  <si>
    <t>Temp (field)</t>
  </si>
  <si>
    <t>Notes</t>
  </si>
  <si>
    <t>Streamwater temp</t>
  </si>
  <si>
    <t>Stream pH</t>
  </si>
  <si>
    <t>Sample vol (mL)</t>
  </si>
  <si>
    <t>K1 (lab)</t>
  </si>
  <si>
    <t>K2 (lab)</t>
  </si>
  <si>
    <t>KH (lab)</t>
  </si>
  <si>
    <t>HCO3- (lab)</t>
  </si>
  <si>
    <t>CO32- (lab)</t>
  </si>
  <si>
    <t>mol</t>
  </si>
  <si>
    <t>Total CO2</t>
  </si>
  <si>
    <t xml:space="preserve">CO2 gas </t>
  </si>
  <si>
    <t>From GC measurement of ppm CO2 in Umeå</t>
  </si>
  <si>
    <t>Water volume incl, acid</t>
  </si>
  <si>
    <t>Sample volume</t>
  </si>
  <si>
    <t>in the four worksheets.</t>
  </si>
  <si>
    <t>H2CO3*(lab)</t>
  </si>
  <si>
    <t>DIC</t>
  </si>
  <si>
    <t>C speciation</t>
  </si>
  <si>
    <t>The following cells must be filled in those outlined in</t>
  </si>
  <si>
    <t>Spreadsheet to calculate DIC, HCO3-, pCO2 and epCO2 (field)</t>
  </si>
  <si>
    <t>KH</t>
  </si>
  <si>
    <t>EpCH4</t>
  </si>
  <si>
    <t>Should be kept constant: 308.15 K and pH 2</t>
  </si>
  <si>
    <t>CH4</t>
  </si>
  <si>
    <t>Using vials 22ml (initially with N2, 5 mL streamwater added to give overpressure)</t>
  </si>
  <si>
    <t>ppm CO2 from the GC</t>
  </si>
  <si>
    <t>ppm CH4 from the GC</t>
  </si>
  <si>
    <t>T lab</t>
  </si>
  <si>
    <t>CO2</t>
  </si>
  <si>
    <t>H+</t>
  </si>
  <si>
    <t>Raw GC data</t>
  </si>
  <si>
    <t>T is the temperature of the sample when injecting in GC</t>
  </si>
  <si>
    <t>Marcus W &amp; Erin H, June 2015</t>
  </si>
  <si>
    <t>uatm</t>
  </si>
  <si>
    <t>CO2-C</t>
  </si>
  <si>
    <t>CO2 dis</t>
  </si>
  <si>
    <t>-</t>
  </si>
  <si>
    <t>CH4 dis</t>
  </si>
  <si>
    <t>CH4 gas</t>
  </si>
  <si>
    <t>CH4-C</t>
  </si>
  <si>
    <t>pCH4</t>
  </si>
  <si>
    <t>T</t>
  </si>
  <si>
    <t>R gas constant (L atm mol-1 K-1)</t>
  </si>
  <si>
    <t>mol L-1 atm-1</t>
  </si>
  <si>
    <t>Harned &amp; Davis 1943; Weiss 1974</t>
  </si>
  <si>
    <t>Harned &amp; Scholes 1941</t>
  </si>
  <si>
    <t>mol L-1</t>
  </si>
  <si>
    <t>mg L-1</t>
  </si>
  <si>
    <t>umol L-1</t>
  </si>
  <si>
    <t>ug L-1</t>
  </si>
  <si>
    <t>Field pH and temp</t>
  </si>
  <si>
    <t>NA</t>
  </si>
  <si>
    <t>DC4 2019-12-12</t>
  </si>
  <si>
    <t>DC4 2019-11-20</t>
  </si>
  <si>
    <t>DC4 2022-05-16</t>
  </si>
  <si>
    <t>DC4 2021-05-25</t>
  </si>
  <si>
    <t>DC4 2022-02-09</t>
  </si>
  <si>
    <t>DC4 2020-11-03</t>
  </si>
  <si>
    <t>DC4 2021-07-07</t>
  </si>
  <si>
    <t>DC4 2021-04-29</t>
  </si>
  <si>
    <t>DC4 2021-08-03</t>
  </si>
  <si>
    <t>DC4 2022-05-06</t>
  </si>
  <si>
    <t>DC4 2021-04-08</t>
  </si>
  <si>
    <t>DC4 2021-06-21</t>
  </si>
  <si>
    <t>DC4 2021-11-24</t>
  </si>
  <si>
    <t>DC4 2021-07-19</t>
  </si>
  <si>
    <t>DC4 2021-10-12</t>
  </si>
  <si>
    <t>DC4 2020-08-10</t>
  </si>
  <si>
    <t>DC4 2021-04-20</t>
  </si>
  <si>
    <t>DC4 2020-04-24</t>
  </si>
  <si>
    <t>DC4 2020-11-18</t>
  </si>
  <si>
    <t>DC4 2021-09-01</t>
  </si>
  <si>
    <t>DC4 2023-09-14</t>
  </si>
  <si>
    <t>DC4 2022-06-21</t>
  </si>
  <si>
    <t>DC4 2022-05-23</t>
  </si>
  <si>
    <t>DC4 2023-08-30</t>
  </si>
  <si>
    <t>DC4 2024-09-10</t>
  </si>
  <si>
    <t>DC4 2024-07-16</t>
  </si>
  <si>
    <t>DC4 2021-05-14</t>
  </si>
  <si>
    <t>DC4 2021-05-04</t>
  </si>
  <si>
    <t>DC4 2020-08-24</t>
  </si>
  <si>
    <t>DC4 2019-06-18</t>
  </si>
  <si>
    <t>DC4 2021-11-10</t>
  </si>
  <si>
    <t>DC4 2021-04-27</t>
  </si>
  <si>
    <t>DC4 2021-12-15</t>
  </si>
  <si>
    <t>DC4 2021-09-13</t>
  </si>
  <si>
    <t>DC4 2021-10-25</t>
  </si>
  <si>
    <t>DC4 2020-12-15</t>
  </si>
  <si>
    <t>DC4 2021-05-10</t>
  </si>
  <si>
    <t>DC4 2021-04-21</t>
  </si>
  <si>
    <t>DC4 2019-10-10</t>
  </si>
  <si>
    <t>DC4 2023-05-03</t>
  </si>
  <si>
    <t>DC4 2021-08-18</t>
  </si>
  <si>
    <t>DC4 2019-04-21</t>
  </si>
  <si>
    <t>DC4 2021-03-17</t>
  </si>
  <si>
    <t>DC4 2021-02-17</t>
  </si>
  <si>
    <t>DC4 2020-10-07</t>
  </si>
  <si>
    <t>DC4 2021-03-31</t>
  </si>
  <si>
    <t>DC4 2021-05-07</t>
  </si>
  <si>
    <t>DC4 2020-12-01</t>
  </si>
  <si>
    <t>DC4 2021-01-20</t>
  </si>
  <si>
    <t>DC4 2021-04-13</t>
  </si>
  <si>
    <t>DC4 2020-10-21</t>
  </si>
  <si>
    <t>DC1 2021-05-07</t>
  </si>
  <si>
    <t>DC1 2024-03-13</t>
  </si>
  <si>
    <t>DC1 2020-11-03</t>
  </si>
  <si>
    <t>DC1 2020-05-13</t>
  </si>
  <si>
    <t>DC1 2021-11-10</t>
  </si>
  <si>
    <t>DC1 2019-04-21</t>
  </si>
  <si>
    <t>DC1 2022-06-21</t>
  </si>
  <si>
    <t>DC1 2022-09-12</t>
  </si>
  <si>
    <t>DC1 2020-08-24</t>
  </si>
  <si>
    <t>DC1 2019-06-18</t>
  </si>
  <si>
    <t>DC1 2020-11-18</t>
  </si>
  <si>
    <t>DC1 2022-07-20</t>
  </si>
  <si>
    <t>DC1 2021-03-17</t>
  </si>
  <si>
    <t>DC1 2020-12-01</t>
  </si>
  <si>
    <t>DC1 2022-04-29</t>
  </si>
  <si>
    <t>DC1 2022-05-16</t>
  </si>
  <si>
    <t>DC1 2020-10-07</t>
  </si>
  <si>
    <t>DC1 2020-12-15</t>
  </si>
  <si>
    <t>DC1 2020-04-30</t>
  </si>
  <si>
    <t>DC1 2023-08-30</t>
  </si>
  <si>
    <t>DC1 2020-08-10</t>
  </si>
  <si>
    <t>DC1 2024-05-15</t>
  </si>
  <si>
    <t>DC1 2022-05-23</t>
  </si>
  <si>
    <t>DC1 2020-05-05</t>
  </si>
  <si>
    <t>DC1 2021-10-12</t>
  </si>
  <si>
    <t>DC1 2021-02-17</t>
  </si>
  <si>
    <t>DC1 2022-05-06</t>
  </si>
  <si>
    <t>DC1 2021-07-19</t>
  </si>
  <si>
    <t>DC1 2024-04-16</t>
  </si>
  <si>
    <t>DC1 2021-08-03</t>
  </si>
  <si>
    <t>DC1 2024-11-06</t>
  </si>
  <si>
    <t>DC1 2021-04-29</t>
  </si>
  <si>
    <t>DC1 2022-04-05</t>
  </si>
  <si>
    <t>DC1 2021-05-14</t>
  </si>
  <si>
    <t>DC1 2021-04-21</t>
  </si>
  <si>
    <t>DC1 2023-09-14</t>
  </si>
  <si>
    <t>DC1 2021-09-13</t>
  </si>
  <si>
    <t>DC1 2021-07-07</t>
  </si>
  <si>
    <t>DC1 2024-08-13</t>
  </si>
  <si>
    <t>DC1 2021-12-15</t>
  </si>
  <si>
    <t>DC1 2021-03-31</t>
  </si>
  <si>
    <t>DC1 2021-08-18</t>
  </si>
  <si>
    <t>DC1 2020-10-21</t>
  </si>
  <si>
    <t>DC1 2022-04-26</t>
  </si>
  <si>
    <t>DC1 2021-10-25</t>
  </si>
  <si>
    <t>DC1 2021-04-27</t>
  </si>
  <si>
    <t>DC1 2022-07-05</t>
  </si>
  <si>
    <t>DC1 2021-04-20</t>
  </si>
  <si>
    <t>DC1 2021-04-08</t>
  </si>
  <si>
    <t>DC1 2019-11-20</t>
  </si>
  <si>
    <t>DC1 2022-09-01</t>
  </si>
  <si>
    <t>DC1 2021-01-20</t>
  </si>
  <si>
    <t>DC1 2021-04-13</t>
  </si>
  <si>
    <t>DC1 2024-07-16</t>
  </si>
  <si>
    <t>DC1 2023-05-03</t>
  </si>
  <si>
    <t>DC2 2021-03-17</t>
  </si>
  <si>
    <t>DC2 2020-08-10</t>
  </si>
  <si>
    <t>DC2 2023-05-03</t>
  </si>
  <si>
    <t>DC2 2021-04-21</t>
  </si>
  <si>
    <t>DC2 2020-10-07</t>
  </si>
  <si>
    <t>DC2 2021-05-14</t>
  </si>
  <si>
    <t>DC2 2022-02-09</t>
  </si>
  <si>
    <t>DC2 2021-11-10</t>
  </si>
  <si>
    <t>DC2 2021-10-25</t>
  </si>
  <si>
    <t>DC2 2021-08-18</t>
  </si>
  <si>
    <t>DC2 2024-04-16</t>
  </si>
  <si>
    <t>DC2 2021-05-04</t>
  </si>
  <si>
    <t>DC2 2020-11-03</t>
  </si>
  <si>
    <t>DC2 2024-07-16</t>
  </si>
  <si>
    <t>DC2 2022-04-29</t>
  </si>
  <si>
    <t>DC2 2021-10-12</t>
  </si>
  <si>
    <t>DC2 2021-04-27</t>
  </si>
  <si>
    <t>DC2 2023-08-30</t>
  </si>
  <si>
    <t>DC2 2021-04-29</t>
  </si>
  <si>
    <t>DC2 2022-06-21</t>
  </si>
  <si>
    <t>DC2 2021-01-20</t>
  </si>
  <si>
    <t>DC2 2020-04-30</t>
  </si>
  <si>
    <t>DC2 2021-05-07</t>
  </si>
  <si>
    <t>DC2 2021-09-01</t>
  </si>
  <si>
    <t>DC2 2019-11-20</t>
  </si>
  <si>
    <t>DC2 2020-10-21</t>
  </si>
  <si>
    <t>DC2 2022-04-26</t>
  </si>
  <si>
    <t>DC2 2023-09-14</t>
  </si>
  <si>
    <t>DC2 2022-04-05</t>
  </si>
  <si>
    <t>DC2 2021-09-13</t>
  </si>
  <si>
    <t>DC2 2024-11-06</t>
  </si>
  <si>
    <t>DC2 2022-05-06</t>
  </si>
  <si>
    <t>DC2 2021-12-15</t>
  </si>
  <si>
    <t>DC2 2021-07-07</t>
  </si>
  <si>
    <t>DC2 2021-04-08</t>
  </si>
  <si>
    <t>DC2 2024-08-13</t>
  </si>
  <si>
    <t>DC2 2021-04-20</t>
  </si>
  <si>
    <t>DC2 2022-01-12</t>
  </si>
  <si>
    <t>DC2 2020-11-18</t>
  </si>
  <si>
    <t>DC2 2021-07-19</t>
  </si>
  <si>
    <t>DC2 2022-04-21</t>
  </si>
  <si>
    <t>DC2 2020-12-15</t>
  </si>
  <si>
    <t>DC2 2020-05-14</t>
  </si>
  <si>
    <t>DC2 2021-03-31</t>
  </si>
  <si>
    <t>DC2 2019-04-21</t>
  </si>
  <si>
    <t>DC2 2022-05-16</t>
  </si>
  <si>
    <t>DC2 2020-12-01</t>
  </si>
  <si>
    <t>DC2 2024-05-15</t>
  </si>
  <si>
    <t>DC2 2020-05-05</t>
  </si>
  <si>
    <t>DC2 2022-08-04</t>
  </si>
  <si>
    <t>DC2 2022-05-23</t>
  </si>
  <si>
    <t>DC2 2021-08-03</t>
  </si>
  <si>
    <t>DC2 2021-02-17</t>
  </si>
  <si>
    <t>DC2 2021-04-13</t>
  </si>
  <si>
    <t>DC3 2021-04-27</t>
  </si>
  <si>
    <t>DC3 2020-10-07</t>
  </si>
  <si>
    <t>DC3 2020-04-30</t>
  </si>
  <si>
    <t>DC3 2021-03-31</t>
  </si>
  <si>
    <t>DC3 2021-04-20</t>
  </si>
  <si>
    <t>DC3 2024-01-09</t>
  </si>
  <si>
    <t>DC3 2021-03-17</t>
  </si>
  <si>
    <t>DC3 2021-09-13</t>
  </si>
  <si>
    <t>DC3 2025-01-21</t>
  </si>
  <si>
    <t>DC3 2021-05-10</t>
  </si>
  <si>
    <t>DC3 2022-07-05</t>
  </si>
  <si>
    <t>DC3 2021-08-18</t>
  </si>
  <si>
    <t>DC3 2020-08-24</t>
  </si>
  <si>
    <t>DC3 2020-08-10</t>
  </si>
  <si>
    <t>DC3 2020-11-18</t>
  </si>
  <si>
    <t>DC3 2023-09-14</t>
  </si>
  <si>
    <t>DC3 2022-02-09</t>
  </si>
  <si>
    <t>DC3 2019-10-10</t>
  </si>
  <si>
    <t>DC3 2025-02-20</t>
  </si>
  <si>
    <t>DC3 2022-05-23</t>
  </si>
  <si>
    <t>DC3 2022-06-21</t>
  </si>
  <si>
    <t>DC3 2021-09-01</t>
  </si>
  <si>
    <t>DC3 2021-05-14</t>
  </si>
  <si>
    <t>DC3 2022-05-06</t>
  </si>
  <si>
    <t>DC3 2020-12-01</t>
  </si>
  <si>
    <t>DC3 2024-03-13</t>
  </si>
  <si>
    <t>DC3 2022-09-01</t>
  </si>
  <si>
    <t>DC3 2021-07-19</t>
  </si>
  <si>
    <t>DC3 2023-05-03</t>
  </si>
  <si>
    <t>DC3 2022-07-20</t>
  </si>
  <si>
    <t>DC3 2023-07-19</t>
  </si>
  <si>
    <t>DC3 2021-12-15</t>
  </si>
  <si>
    <t>DC3 2021-02-17</t>
  </si>
  <si>
    <t>DC3 2021-04-29</t>
  </si>
  <si>
    <t>DC3 2019-04-21</t>
  </si>
  <si>
    <t>DC3 2024-05-15</t>
  </si>
  <si>
    <t>DC3 2024-04-16</t>
  </si>
  <si>
    <t>DC3 2023-08-30</t>
  </si>
  <si>
    <t>DC3 2021-08-03</t>
  </si>
  <si>
    <t>DC3 2022-04-05</t>
  </si>
  <si>
    <t>DC3 2022-09-12</t>
  </si>
  <si>
    <t>DC3 2020-05-15</t>
  </si>
  <si>
    <t>DC3 2020-10-21</t>
  </si>
  <si>
    <t>DC3 2022-04-21</t>
  </si>
  <si>
    <t>DC3 2019-06-18</t>
  </si>
  <si>
    <t>DC3 2020-12-15</t>
  </si>
  <si>
    <t>DC3 2020-11-03</t>
  </si>
  <si>
    <t>DC3 2024-09-10</t>
  </si>
  <si>
    <t>DC3 2022-01-12</t>
  </si>
  <si>
    <t>DC3 2024-07-16</t>
  </si>
  <si>
    <t>DC3 2022-08-04</t>
  </si>
  <si>
    <t>DC3 2021-04-13</t>
  </si>
  <si>
    <t>DC3 2021-04-08</t>
  </si>
  <si>
    <t>DC3 2021-10-25</t>
  </si>
  <si>
    <t>DC3 2019-12-12</t>
  </si>
  <si>
    <t>DC3 2019-11-20</t>
  </si>
  <si>
    <t>DC3 2021-10-12</t>
  </si>
  <si>
    <t>DC3 2024-08-13</t>
  </si>
  <si>
    <t>DC3 2021-07-07</t>
  </si>
  <si>
    <t>DC3 2022-03-08</t>
  </si>
  <si>
    <t>DC3 2021-05-04</t>
  </si>
  <si>
    <t>DC3 2021-11-10</t>
  </si>
  <si>
    <t>DC3 2021-04-21</t>
  </si>
  <si>
    <t>DC3 2022-04-29</t>
  </si>
  <si>
    <t>DC3 2022-05-16</t>
  </si>
  <si>
    <t>DC3 2021-05-07</t>
  </si>
  <si>
    <t>DC3 2021-01-20</t>
  </si>
  <si>
    <t>Sample ID</t>
  </si>
  <si>
    <t>Date</t>
  </si>
  <si>
    <t>DIC_mgL</t>
  </si>
  <si>
    <t>CO2_mgL</t>
  </si>
  <si>
    <t>CH4_ugL</t>
  </si>
  <si>
    <t>pCH4_uatm</t>
  </si>
  <si>
    <t>pCO2_uatm</t>
  </si>
  <si>
    <t>SiteId_DC</t>
  </si>
  <si>
    <t>DC4</t>
  </si>
  <si>
    <t>DC1</t>
  </si>
  <si>
    <t>DC2</t>
  </si>
  <si>
    <t>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</si>
</sst>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\ &quot;kr&quot;_-;\-* #,##0\ &quot;kr&quot;_-;_-* &quot;-&quot;\ &quot;kr&quot;_-;_-@_-"/>
    <numFmt numFmtId="165" formatCode="_-* #,##0\ _k_r_-;\-* #,##0\ _k_r_-;_-* &quot;-&quot;\ _k_r_-;_-@_-"/>
    <numFmt numFmtId="166" formatCode="0.0"/>
    <numFmt numFmtId="167" formatCode="0.00000"/>
    <numFmt numFmtId="168" formatCode="0.0000000"/>
    <numFmt numFmtId="169" formatCode="0.0000E+00"/>
    <numFmt numFmtId="170" formatCode="0.000"/>
    <numFmt numFmtId="171" formatCode="0.000000"/>
    <numFmt numFmtId="173" formatCode="yyyy\-mm\-dd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3">
    <xf numFmtId="0" fontId="0" fillId="0" borderId="0"/>
    <xf numFmtId="0" fontId="13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2" fontId="0" fillId="0" borderId="0" xfId="0" applyNumberFormat="1"/>
    <xf numFmtId="2" fontId="4" fillId="0" borderId="0" xfId="0" applyNumberFormat="1" applyFont="1"/>
    <xf numFmtId="0" fontId="4" fillId="0" borderId="0" xfId="0" applyFont="1"/>
    <xf numFmtId="0" fontId="5" fillId="0" borderId="0" xfId="0" applyFont="1"/>
    <xf numFmtId="2" fontId="6" fillId="0" borderId="0" xfId="0" applyNumberFormat="1" applyFont="1"/>
    <xf numFmtId="0" fontId="6" fillId="0" borderId="0" xfId="0" applyFont="1"/>
    <xf numFmtId="167" fontId="0" fillId="0" borderId="0" xfId="0" applyNumberFormat="1"/>
    <xf numFmtId="168" fontId="0" fillId="0" borderId="0" xfId="0" applyNumberFormat="1"/>
    <xf numFmtId="168" fontId="6" fillId="0" borderId="0" xfId="0" applyNumberFormat="1" applyFont="1"/>
    <xf numFmtId="0" fontId="8" fillId="0" borderId="0" xfId="0" applyFont="1" applyAlignment="1">
      <alignment horizontal="center"/>
    </xf>
    <xf numFmtId="0" fontId="0" fillId="2" borderId="1" xfId="0" applyFill="1" applyBorder="1"/>
    <xf numFmtId="0" fontId="7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9" fontId="0" fillId="0" borderId="0" xfId="0" applyNumberFormat="1"/>
    <xf numFmtId="169" fontId="6" fillId="0" borderId="0" xfId="0" applyNumberFormat="1" applyFont="1"/>
    <xf numFmtId="0" fontId="5" fillId="0" borderId="0" xfId="0" applyFont="1" applyAlignment="1">
      <alignment horizontal="center"/>
    </xf>
    <xf numFmtId="2" fontId="5" fillId="0" borderId="0" xfId="0" applyNumberFormat="1" applyFont="1"/>
    <xf numFmtId="2" fontId="0" fillId="0" borderId="0" xfId="0" applyNumberFormat="1" applyAlignment="1">
      <alignment horizontal="left" indent="1"/>
    </xf>
    <xf numFmtId="0" fontId="3" fillId="0" borderId="0" xfId="0" applyFont="1"/>
    <xf numFmtId="1" fontId="0" fillId="0" borderId="0" xfId="0" applyNumberFormat="1"/>
    <xf numFmtId="2" fontId="4" fillId="3" borderId="0" xfId="0" applyNumberFormat="1" applyFont="1" applyFill="1" applyAlignment="1">
      <alignment horizontal="center"/>
    </xf>
    <xf numFmtId="0" fontId="0" fillId="3" borderId="0" xfId="0" applyFill="1"/>
    <xf numFmtId="166" fontId="0" fillId="0" borderId="0" xfId="0" applyNumberFormat="1"/>
    <xf numFmtId="0" fontId="13" fillId="0" borderId="0" xfId="1"/>
    <xf numFmtId="2" fontId="0" fillId="4" borderId="0" xfId="0" applyNumberFormat="1" applyFill="1"/>
    <xf numFmtId="2" fontId="5" fillId="4" borderId="0" xfId="0" applyNumberFormat="1" applyFont="1" applyFill="1"/>
    <xf numFmtId="2" fontId="5" fillId="3" borderId="0" xfId="0" applyNumberFormat="1" applyFont="1" applyFill="1"/>
    <xf numFmtId="0" fontId="0" fillId="0" borderId="0" xfId="0" applyAlignment="1">
      <alignment horizontal="right"/>
    </xf>
    <xf numFmtId="0" fontId="0" fillId="4" borderId="1" xfId="0" applyFill="1" applyBorder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1" fontId="2" fillId="4" borderId="0" xfId="1" applyNumberFormat="1" applyFont="1" applyFill="1"/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168" fontId="5" fillId="0" borderId="0" xfId="0" applyNumberFormat="1" applyFont="1"/>
    <xf numFmtId="0" fontId="16" fillId="0" borderId="0" xfId="0" applyFont="1" applyAlignment="1">
      <alignment horizontal="center"/>
    </xf>
    <xf numFmtId="171" fontId="16" fillId="0" borderId="0" xfId="0" applyNumberFormat="1" applyFont="1" applyAlignment="1">
      <alignment horizontal="center" vertical="center"/>
    </xf>
    <xf numFmtId="170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0" xfId="0" quotePrefix="1" applyNumberFormat="1" applyFont="1" applyAlignment="1">
      <alignment horizontal="center"/>
    </xf>
    <xf numFmtId="166" fontId="5" fillId="4" borderId="0" xfId="0" applyNumberFormat="1" applyFont="1" applyFill="1"/>
    <xf numFmtId="0" fontId="0" fillId="4" borderId="0" xfId="0" applyFill="1"/>
    <xf numFmtId="1" fontId="3" fillId="0" borderId="0" xfId="0" applyNumberFormat="1" applyFont="1"/>
    <xf numFmtId="173" fontId="0" fillId="0" borderId="0" xfId="0" applyNumberFormat="1"/>
    <xf numFmtId="0" fontId="0" fillId="5" borderId="0" xfId="0" applyFill="1"/>
    <xf numFmtId="173" fontId="0" fillId="5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0" fontId="3" fillId="6" borderId="0" xfId="0" applyFont="1" applyFill="1"/>
    <xf numFmtId="0" fontId="0" fillId="6" borderId="0" xfId="0" applyFill="1"/>
    <xf numFmtId="2" fontId="0" fillId="6" borderId="0" xfId="0" applyNumberFormat="1" applyFill="1"/>
    <xf numFmtId="1" fontId="0" fillId="6" borderId="0" xfId="0" applyNumberFormat="1" applyFill="1"/>
    <xf numFmtId="166" fontId="0" fillId="6" borderId="0" xfId="0" applyNumberFormat="1" applyFill="1"/>
  </cellXfs>
  <cellStyles count="13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Normal 2" xfId="1" xr:uid="{00000000-0005-0000-0000-000009000000}"/>
    <cellStyle name="Normal 2 2" xfId="12" xr:uid="{00000000-0005-0000-0000-00000A000000}"/>
    <cellStyle name="Tusental (0)_Blad1" xfId="10" xr:uid="{00000000-0005-0000-0000-00000B000000}"/>
    <cellStyle name="Valuta (0)_Blad1" xfId="1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G14" sqref="G14"/>
    </sheetView>
  </sheetViews>
  <sheetFormatPr baseColWidth="10" defaultColWidth="8.83203125" defaultRowHeight="13" x14ac:dyDescent="0.15"/>
  <cols>
    <col min="2" max="2" width="20.5" bestFit="1" customWidth="1"/>
    <col min="4" max="4" width="10" customWidth="1"/>
  </cols>
  <sheetData>
    <row r="1" spans="1:6" x14ac:dyDescent="0.15">
      <c r="A1" t="s">
        <v>61</v>
      </c>
    </row>
    <row r="2" spans="1:6" x14ac:dyDescent="0.15">
      <c r="A2" t="s">
        <v>53</v>
      </c>
    </row>
    <row r="3" spans="1:6" x14ac:dyDescent="0.15">
      <c r="A3" s="4" t="s">
        <v>66</v>
      </c>
    </row>
    <row r="4" spans="1:6" x14ac:dyDescent="0.15">
      <c r="A4" s="4" t="s">
        <v>74</v>
      </c>
    </row>
    <row r="7" spans="1:6" ht="14" thickBot="1" x14ac:dyDescent="0.2"/>
    <row r="8" spans="1:6" ht="14" thickBot="1" x14ac:dyDescent="0.2">
      <c r="A8" t="s">
        <v>60</v>
      </c>
      <c r="E8" s="34" t="s">
        <v>30</v>
      </c>
      <c r="F8" t="s">
        <v>56</v>
      </c>
    </row>
    <row r="11" spans="1:6" x14ac:dyDescent="0.15">
      <c r="A11" s="16" t="s">
        <v>31</v>
      </c>
      <c r="B11" s="3" t="s">
        <v>32</v>
      </c>
      <c r="C11" s="3" t="s">
        <v>35</v>
      </c>
      <c r="D11" s="3" t="s">
        <v>41</v>
      </c>
    </row>
    <row r="12" spans="1:6" x14ac:dyDescent="0.15">
      <c r="A12" s="15" t="s">
        <v>33</v>
      </c>
    </row>
    <row r="13" spans="1:6" x14ac:dyDescent="0.15">
      <c r="B13" t="s">
        <v>34</v>
      </c>
    </row>
    <row r="14" spans="1:6" x14ac:dyDescent="0.15">
      <c r="B14" t="s">
        <v>54</v>
      </c>
      <c r="C14" t="s">
        <v>36</v>
      </c>
    </row>
    <row r="15" spans="1:6" x14ac:dyDescent="0.15">
      <c r="B15" t="s">
        <v>37</v>
      </c>
      <c r="C15" t="s">
        <v>36</v>
      </c>
    </row>
    <row r="16" spans="1:6" x14ac:dyDescent="0.15">
      <c r="B16" t="s">
        <v>55</v>
      </c>
      <c r="C16" t="s">
        <v>36</v>
      </c>
    </row>
    <row r="18" spans="1:4" x14ac:dyDescent="0.15">
      <c r="A18" s="15" t="s">
        <v>58</v>
      </c>
    </row>
    <row r="19" spans="1:4" x14ac:dyDescent="0.15">
      <c r="B19" s="4" t="s">
        <v>67</v>
      </c>
      <c r="C19" t="s">
        <v>4</v>
      </c>
    </row>
    <row r="21" spans="1:4" x14ac:dyDescent="0.15">
      <c r="A21" s="15" t="s">
        <v>59</v>
      </c>
    </row>
    <row r="23" spans="1:4" x14ac:dyDescent="0.15">
      <c r="B23" t="s">
        <v>39</v>
      </c>
      <c r="D23" t="s">
        <v>43</v>
      </c>
    </row>
    <row r="24" spans="1:4" x14ac:dyDescent="0.15">
      <c r="B24" t="s">
        <v>40</v>
      </c>
      <c r="C24" t="s">
        <v>12</v>
      </c>
      <c r="D24" t="s">
        <v>42</v>
      </c>
    </row>
    <row r="26" spans="1:4" x14ac:dyDescent="0.15">
      <c r="A26" s="15" t="s">
        <v>65</v>
      </c>
    </row>
    <row r="27" spans="1:4" x14ac:dyDescent="0.15">
      <c r="B27" s="4" t="s">
        <v>68</v>
      </c>
      <c r="C27" s="4" t="s">
        <v>4</v>
      </c>
    </row>
  </sheetData>
  <phoneticPr fontId="1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1"/>
  <sheetViews>
    <sheetView workbookViewId="0">
      <selection activeCell="A3" sqref="A3:A231"/>
    </sheetView>
  </sheetViews>
  <sheetFormatPr baseColWidth="10" defaultColWidth="8.83203125" defaultRowHeight="13" x14ac:dyDescent="0.15"/>
  <cols>
    <col min="1" max="1" width="14.6640625" bestFit="1" customWidth="1"/>
    <col min="2" max="2" width="12.5" bestFit="1" customWidth="1"/>
    <col min="3" max="3" width="17.33203125" bestFit="1" customWidth="1"/>
  </cols>
  <sheetData>
    <row r="1" spans="1:8" x14ac:dyDescent="0.15">
      <c r="A1" t="s">
        <v>34</v>
      </c>
      <c r="B1" t="s">
        <v>27</v>
      </c>
      <c r="C1" t="s">
        <v>28</v>
      </c>
      <c r="D1" t="s">
        <v>44</v>
      </c>
    </row>
    <row r="2" spans="1:8" ht="14" x14ac:dyDescent="0.15">
      <c r="A2" s="43"/>
      <c r="B2" s="31"/>
      <c r="C2" s="30"/>
      <c r="D2" s="30"/>
      <c r="H2" s="43"/>
    </row>
    <row r="3" spans="1:8" ht="14" x14ac:dyDescent="0.15">
      <c r="A3" s="43" t="s">
        <v>94</v>
      </c>
      <c r="B3" s="31">
        <v>5.0999999999999996</v>
      </c>
      <c r="C3" s="30">
        <v>17</v>
      </c>
      <c r="D3" s="30">
        <v>5</v>
      </c>
      <c r="H3" s="43"/>
    </row>
    <row r="4" spans="1:8" ht="14" x14ac:dyDescent="0.15">
      <c r="A4" s="43" t="s">
        <v>95</v>
      </c>
      <c r="B4" s="31">
        <v>5.0999999999999996</v>
      </c>
      <c r="C4" s="30">
        <v>17</v>
      </c>
      <c r="D4" s="30">
        <v>5</v>
      </c>
      <c r="H4" s="43"/>
    </row>
    <row r="5" spans="1:8" ht="14" x14ac:dyDescent="0.15">
      <c r="A5" s="43" t="s">
        <v>96</v>
      </c>
      <c r="B5" s="31">
        <v>5.0999999999999996</v>
      </c>
      <c r="C5" s="30">
        <v>17</v>
      </c>
      <c r="D5" s="30">
        <v>5</v>
      </c>
      <c r="H5" s="43"/>
    </row>
    <row r="6" spans="1:8" ht="14" x14ac:dyDescent="0.15">
      <c r="A6" s="43" t="s">
        <v>97</v>
      </c>
      <c r="B6" s="31">
        <v>5.0999999999999996</v>
      </c>
      <c r="C6" s="30">
        <v>17</v>
      </c>
      <c r="D6" s="30">
        <v>5</v>
      </c>
      <c r="H6" s="43"/>
    </row>
    <row r="7" spans="1:8" ht="14" x14ac:dyDescent="0.15">
      <c r="A7" s="43" t="s">
        <v>98</v>
      </c>
      <c r="B7" s="31">
        <v>5.0999999999999996</v>
      </c>
      <c r="C7" s="30">
        <v>17</v>
      </c>
      <c r="D7" s="30">
        <v>5</v>
      </c>
      <c r="H7" s="43"/>
    </row>
    <row r="8" spans="1:8" ht="14" x14ac:dyDescent="0.15">
      <c r="A8" s="43" t="s">
        <v>99</v>
      </c>
      <c r="B8" s="31">
        <v>5.0999999999999996</v>
      </c>
      <c r="C8" s="30">
        <v>17</v>
      </c>
      <c r="D8" s="30">
        <v>5</v>
      </c>
      <c r="H8" s="43"/>
    </row>
    <row r="9" spans="1:8" ht="14" x14ac:dyDescent="0.15">
      <c r="A9" s="43" t="s">
        <v>100</v>
      </c>
      <c r="B9" s="31">
        <v>5.0999999999999996</v>
      </c>
      <c r="C9" s="30">
        <v>17</v>
      </c>
      <c r="D9" s="30">
        <v>5</v>
      </c>
      <c r="H9" s="43"/>
    </row>
    <row r="10" spans="1:8" ht="14" x14ac:dyDescent="0.15">
      <c r="A10" s="43" t="s">
        <v>101</v>
      </c>
      <c r="B10" s="31">
        <v>5.0999999999999996</v>
      </c>
      <c r="C10" s="30">
        <v>17</v>
      </c>
      <c r="D10" s="30">
        <v>5</v>
      </c>
      <c r="H10" s="43"/>
    </row>
    <row r="11" spans="1:8" ht="14" x14ac:dyDescent="0.15">
      <c r="A11" s="43" t="s">
        <v>102</v>
      </c>
      <c r="B11" s="31">
        <v>5.0999999999999996</v>
      </c>
      <c r="C11" s="30">
        <v>17</v>
      </c>
      <c r="D11" s="30">
        <v>5</v>
      </c>
      <c r="H11" s="43"/>
    </row>
    <row r="12" spans="1:8" ht="14" x14ac:dyDescent="0.15">
      <c r="A12" s="43" t="s">
        <v>103</v>
      </c>
      <c r="B12" s="31">
        <v>5.0999999999999996</v>
      </c>
      <c r="C12" s="30">
        <v>17</v>
      </c>
      <c r="D12" s="30">
        <v>5</v>
      </c>
      <c r="H12" s="43"/>
    </row>
    <row r="13" spans="1:8" ht="14" x14ac:dyDescent="0.15">
      <c r="A13" s="43" t="s">
        <v>104</v>
      </c>
      <c r="B13" s="31">
        <v>5.0999999999999996</v>
      </c>
      <c r="C13" s="30">
        <v>17</v>
      </c>
      <c r="D13" s="30">
        <v>5</v>
      </c>
      <c r="H13" s="43"/>
    </row>
    <row r="14" spans="1:8" ht="14" x14ac:dyDescent="0.15">
      <c r="A14" s="43" t="s">
        <v>105</v>
      </c>
      <c r="B14" s="31">
        <v>5.0999999999999996</v>
      </c>
      <c r="C14" s="30">
        <v>17</v>
      </c>
      <c r="D14" s="30">
        <v>5</v>
      </c>
      <c r="H14" s="43"/>
    </row>
    <row r="15" spans="1:8" ht="14" x14ac:dyDescent="0.15">
      <c r="A15" s="43" t="s">
        <v>106</v>
      </c>
      <c r="B15" s="31">
        <v>5.0999999999999996</v>
      </c>
      <c r="C15" s="30">
        <v>17</v>
      </c>
      <c r="D15" s="30">
        <v>5</v>
      </c>
      <c r="H15" s="43"/>
    </row>
    <row r="16" spans="1:8" ht="14" x14ac:dyDescent="0.15">
      <c r="A16" s="43" t="s">
        <v>107</v>
      </c>
      <c r="B16" s="31">
        <v>5.0999999999999996</v>
      </c>
      <c r="C16" s="30">
        <v>17</v>
      </c>
      <c r="D16" s="30">
        <v>5</v>
      </c>
      <c r="H16" s="43"/>
    </row>
    <row r="17" spans="1:8" ht="14" x14ac:dyDescent="0.15">
      <c r="A17" s="43" t="s">
        <v>108</v>
      </c>
      <c r="B17" s="31">
        <v>5.0999999999999996</v>
      </c>
      <c r="C17" s="30">
        <v>17</v>
      </c>
      <c r="D17" s="30">
        <v>5</v>
      </c>
      <c r="H17" s="43"/>
    </row>
    <row r="18" spans="1:8" ht="14" x14ac:dyDescent="0.15">
      <c r="A18" s="43" t="s">
        <v>109</v>
      </c>
      <c r="B18" s="31">
        <v>5.0999999999999996</v>
      </c>
      <c r="C18" s="30">
        <v>17</v>
      </c>
      <c r="D18" s="30">
        <v>5</v>
      </c>
      <c r="H18" s="43"/>
    </row>
    <row r="19" spans="1:8" ht="14" x14ac:dyDescent="0.15">
      <c r="A19" s="43" t="s">
        <v>110</v>
      </c>
      <c r="B19" s="31">
        <v>5.0999999999999996</v>
      </c>
      <c r="C19" s="30">
        <v>17</v>
      </c>
      <c r="D19" s="30">
        <v>5</v>
      </c>
      <c r="H19" s="43"/>
    </row>
    <row r="20" spans="1:8" ht="14" x14ac:dyDescent="0.15">
      <c r="A20" s="43" t="s">
        <v>111</v>
      </c>
      <c r="B20" s="31">
        <v>5.0999999999999996</v>
      </c>
      <c r="C20" s="30">
        <v>17</v>
      </c>
      <c r="D20" s="30">
        <v>5</v>
      </c>
      <c r="H20" s="43"/>
    </row>
    <row r="21" spans="1:8" ht="14" x14ac:dyDescent="0.15">
      <c r="A21" s="43" t="s">
        <v>112</v>
      </c>
      <c r="B21" s="31">
        <v>5.0999999999999996</v>
      </c>
      <c r="C21" s="30">
        <v>17</v>
      </c>
      <c r="D21" s="30">
        <v>5</v>
      </c>
      <c r="H21" s="43"/>
    </row>
    <row r="22" spans="1:8" ht="14" x14ac:dyDescent="0.15">
      <c r="A22" s="43" t="s">
        <v>113</v>
      </c>
      <c r="B22" s="31">
        <v>5.0999999999999996</v>
      </c>
      <c r="C22" s="30">
        <v>17</v>
      </c>
      <c r="D22" s="30">
        <v>5</v>
      </c>
      <c r="H22" s="43"/>
    </row>
    <row r="23" spans="1:8" ht="14" x14ac:dyDescent="0.15">
      <c r="A23" s="43" t="s">
        <v>114</v>
      </c>
      <c r="B23" s="31">
        <v>5.0999999999999996</v>
      </c>
      <c r="C23" s="30">
        <v>17</v>
      </c>
      <c r="D23" s="30">
        <v>5</v>
      </c>
      <c r="H23" s="43"/>
    </row>
    <row r="24" spans="1:8" ht="14" x14ac:dyDescent="0.15">
      <c r="A24" s="43" t="s">
        <v>115</v>
      </c>
      <c r="B24" s="31">
        <v>5.0999999999999996</v>
      </c>
      <c r="C24" s="30">
        <v>17</v>
      </c>
      <c r="D24" s="30">
        <v>5</v>
      </c>
      <c r="H24" s="43"/>
    </row>
    <row r="25" spans="1:8" ht="14" x14ac:dyDescent="0.15">
      <c r="A25" s="43" t="s">
        <v>116</v>
      </c>
      <c r="B25" s="31">
        <v>5.0999999999999996</v>
      </c>
      <c r="C25" s="30">
        <v>17</v>
      </c>
      <c r="D25" s="30">
        <v>5</v>
      </c>
      <c r="H25" s="43"/>
    </row>
    <row r="26" spans="1:8" ht="14" x14ac:dyDescent="0.15">
      <c r="A26" s="43" t="s">
        <v>117</v>
      </c>
      <c r="B26" s="31">
        <v>5.0999999999999996</v>
      </c>
      <c r="C26" s="30">
        <v>17</v>
      </c>
      <c r="D26" s="30">
        <v>5</v>
      </c>
      <c r="H26" s="43"/>
    </row>
    <row r="27" spans="1:8" ht="14" x14ac:dyDescent="0.15">
      <c r="A27" s="43" t="s">
        <v>118</v>
      </c>
      <c r="B27" s="31">
        <v>5.0999999999999996</v>
      </c>
      <c r="C27" s="30">
        <v>17</v>
      </c>
      <c r="D27" s="30">
        <v>5</v>
      </c>
      <c r="H27" s="43"/>
    </row>
    <row r="28" spans="1:8" ht="14" x14ac:dyDescent="0.15">
      <c r="A28" s="43" t="s">
        <v>119</v>
      </c>
      <c r="B28" s="31">
        <v>5.0999999999999996</v>
      </c>
      <c r="C28" s="30">
        <v>17</v>
      </c>
      <c r="D28" s="30">
        <v>5</v>
      </c>
      <c r="H28" s="43"/>
    </row>
    <row r="29" spans="1:8" ht="14" x14ac:dyDescent="0.15">
      <c r="A29" s="43" t="s">
        <v>120</v>
      </c>
      <c r="B29" s="31">
        <v>5.0999999999999996</v>
      </c>
      <c r="C29" s="30">
        <v>17</v>
      </c>
      <c r="D29" s="30">
        <v>5</v>
      </c>
      <c r="H29" s="43"/>
    </row>
    <row r="30" spans="1:8" ht="14" x14ac:dyDescent="0.15">
      <c r="A30" s="43" t="s">
        <v>121</v>
      </c>
      <c r="B30" s="31">
        <v>5.0999999999999996</v>
      </c>
      <c r="C30" s="30">
        <v>17</v>
      </c>
      <c r="D30" s="30">
        <v>5</v>
      </c>
      <c r="H30" s="43"/>
    </row>
    <row r="31" spans="1:8" ht="14" x14ac:dyDescent="0.15">
      <c r="A31" s="43" t="s">
        <v>122</v>
      </c>
      <c r="B31" s="31">
        <v>5.0999999999999996</v>
      </c>
      <c r="C31" s="30">
        <v>17</v>
      </c>
      <c r="D31" s="30">
        <v>5</v>
      </c>
      <c r="H31" s="43"/>
    </row>
    <row r="32" spans="1:8" ht="14" x14ac:dyDescent="0.15">
      <c r="A32" s="43" t="s">
        <v>123</v>
      </c>
      <c r="B32" s="31">
        <v>5.0999999999999996</v>
      </c>
      <c r="C32" s="30">
        <v>17</v>
      </c>
      <c r="D32" s="30">
        <v>5</v>
      </c>
      <c r="H32" s="43"/>
    </row>
    <row r="33" spans="1:8" ht="14" x14ac:dyDescent="0.15">
      <c r="A33" s="43" t="s">
        <v>124</v>
      </c>
      <c r="B33" s="31">
        <v>5.0999999999999996</v>
      </c>
      <c r="C33" s="30">
        <v>17</v>
      </c>
      <c r="D33" s="30">
        <v>5</v>
      </c>
      <c r="H33" s="43"/>
    </row>
    <row r="34" spans="1:8" ht="14" x14ac:dyDescent="0.15">
      <c r="A34" s="43" t="s">
        <v>125</v>
      </c>
      <c r="B34" s="31">
        <v>5.0999999999999996</v>
      </c>
      <c r="C34" s="30">
        <v>17</v>
      </c>
      <c r="D34" s="30">
        <v>5</v>
      </c>
      <c r="H34" s="43"/>
    </row>
    <row r="35" spans="1:8" ht="14" x14ac:dyDescent="0.15">
      <c r="A35" s="43" t="s">
        <v>126</v>
      </c>
      <c r="B35" s="31">
        <v>5.0999999999999996</v>
      </c>
      <c r="C35" s="30">
        <v>17</v>
      </c>
      <c r="D35" s="30">
        <v>5</v>
      </c>
      <c r="H35" s="43"/>
    </row>
    <row r="36" spans="1:8" ht="14" x14ac:dyDescent="0.15">
      <c r="A36" s="43" t="s">
        <v>127</v>
      </c>
      <c r="B36" s="31">
        <v>5.0999999999999996</v>
      </c>
      <c r="C36" s="30">
        <v>17</v>
      </c>
      <c r="D36" s="30">
        <v>5</v>
      </c>
      <c r="H36" s="43"/>
    </row>
    <row r="37" spans="1:8" ht="14" x14ac:dyDescent="0.15">
      <c r="A37" s="43" t="s">
        <v>128</v>
      </c>
      <c r="B37" s="31">
        <v>5.0999999999999996</v>
      </c>
      <c r="C37" s="30">
        <v>17</v>
      </c>
      <c r="D37" s="30">
        <v>5</v>
      </c>
      <c r="H37" s="43"/>
    </row>
    <row r="38" spans="1:8" ht="15" x14ac:dyDescent="0.2">
      <c r="A38" s="29" t="s">
        <v>129</v>
      </c>
      <c r="B38" s="31">
        <v>5.0999999999999996</v>
      </c>
      <c r="C38" s="30">
        <v>17</v>
      </c>
      <c r="D38" s="30">
        <v>5</v>
      </c>
      <c r="H38" s="43"/>
    </row>
    <row r="39" spans="1:8" ht="15" x14ac:dyDescent="0.2">
      <c r="A39" s="29" t="s">
        <v>130</v>
      </c>
      <c r="B39" s="31">
        <v>5.0999999999999996</v>
      </c>
      <c r="C39" s="30">
        <v>17</v>
      </c>
      <c r="D39" s="30">
        <v>5</v>
      </c>
      <c r="H39" s="43"/>
    </row>
    <row r="40" spans="1:8" ht="15" x14ac:dyDescent="0.2">
      <c r="A40" s="29" t="s">
        <v>131</v>
      </c>
      <c r="B40" s="31">
        <v>5.0999999999999996</v>
      </c>
      <c r="C40" s="30">
        <v>17</v>
      </c>
      <c r="D40" s="30">
        <v>5</v>
      </c>
    </row>
    <row r="41" spans="1:8" ht="15" x14ac:dyDescent="0.2">
      <c r="A41" s="29" t="s">
        <v>132</v>
      </c>
      <c r="B41" s="31">
        <v>5.0999999999999996</v>
      </c>
      <c r="C41" s="30">
        <v>17</v>
      </c>
      <c r="D41" s="30">
        <v>5</v>
      </c>
    </row>
    <row r="42" spans="1:8" ht="15" x14ac:dyDescent="0.2">
      <c r="A42" s="29" t="s">
        <v>133</v>
      </c>
      <c r="B42" s="31">
        <v>5.0999999999999996</v>
      </c>
      <c r="C42" s="30">
        <v>17</v>
      </c>
      <c r="D42" s="30">
        <v>5</v>
      </c>
    </row>
    <row r="43" spans="1:8" ht="15" x14ac:dyDescent="0.2">
      <c r="A43" s="29" t="s">
        <v>134</v>
      </c>
      <c r="B43" s="31">
        <v>5.0999999999999996</v>
      </c>
      <c r="C43" s="30">
        <v>17</v>
      </c>
      <c r="D43" s="30">
        <v>5</v>
      </c>
    </row>
    <row r="44" spans="1:8" ht="15" x14ac:dyDescent="0.2">
      <c r="A44" s="29" t="s">
        <v>135</v>
      </c>
      <c r="B44" s="31">
        <v>5.0999999999999996</v>
      </c>
      <c r="C44" s="30">
        <v>17</v>
      </c>
      <c r="D44" s="30">
        <v>5</v>
      </c>
    </row>
    <row r="45" spans="1:8" ht="15" x14ac:dyDescent="0.2">
      <c r="A45" s="29" t="s">
        <v>136</v>
      </c>
      <c r="B45" s="31">
        <v>5.0999999999999996</v>
      </c>
      <c r="C45" s="30">
        <v>17</v>
      </c>
      <c r="D45" s="30">
        <v>5</v>
      </c>
    </row>
    <row r="46" spans="1:8" ht="15" x14ac:dyDescent="0.2">
      <c r="A46" s="29" t="s">
        <v>137</v>
      </c>
      <c r="B46" s="31">
        <v>5.0999999999999996</v>
      </c>
      <c r="C46" s="30">
        <v>17</v>
      </c>
      <c r="D46" s="30">
        <v>5</v>
      </c>
    </row>
    <row r="47" spans="1:8" ht="15" x14ac:dyDescent="0.2">
      <c r="A47" s="29" t="s">
        <v>138</v>
      </c>
      <c r="B47" s="31">
        <v>5.0999999999999996</v>
      </c>
      <c r="C47" s="30">
        <v>17</v>
      </c>
      <c r="D47" s="30">
        <v>5</v>
      </c>
    </row>
    <row r="48" spans="1:8" ht="15" x14ac:dyDescent="0.2">
      <c r="A48" s="29" t="s">
        <v>139</v>
      </c>
      <c r="B48" s="31">
        <v>5.0999999999999996</v>
      </c>
      <c r="C48" s="30">
        <v>17</v>
      </c>
      <c r="D48" s="30">
        <v>5</v>
      </c>
    </row>
    <row r="49" spans="1:4" ht="15" x14ac:dyDescent="0.2">
      <c r="A49" s="29" t="s">
        <v>140</v>
      </c>
      <c r="B49" s="31">
        <v>5.0999999999999996</v>
      </c>
      <c r="C49" s="30">
        <v>17</v>
      </c>
      <c r="D49" s="30">
        <v>5</v>
      </c>
    </row>
    <row r="50" spans="1:4" ht="15" x14ac:dyDescent="0.2">
      <c r="A50" s="29" t="s">
        <v>141</v>
      </c>
      <c r="B50" s="31">
        <v>5.0999999999999996</v>
      </c>
      <c r="C50" s="30">
        <v>17</v>
      </c>
      <c r="D50" s="30">
        <v>5</v>
      </c>
    </row>
    <row r="51" spans="1:4" ht="15" x14ac:dyDescent="0.2">
      <c r="A51" s="29" t="s">
        <v>142</v>
      </c>
      <c r="B51" s="31">
        <v>5.0999999999999996</v>
      </c>
      <c r="C51" s="30">
        <v>17</v>
      </c>
      <c r="D51" s="30">
        <v>5</v>
      </c>
    </row>
    <row r="52" spans="1:4" ht="15" x14ac:dyDescent="0.2">
      <c r="A52" s="29" t="s">
        <v>143</v>
      </c>
      <c r="B52" s="31">
        <v>5.0999999999999996</v>
      </c>
      <c r="C52" s="30">
        <v>17</v>
      </c>
      <c r="D52" s="30">
        <v>5</v>
      </c>
    </row>
    <row r="53" spans="1:4" ht="15" x14ac:dyDescent="0.2">
      <c r="A53" s="29" t="s">
        <v>144</v>
      </c>
      <c r="B53" s="31">
        <v>5.0999999999999996</v>
      </c>
      <c r="C53" s="30">
        <v>17</v>
      </c>
      <c r="D53" s="30">
        <v>5</v>
      </c>
    </row>
    <row r="54" spans="1:4" ht="15" x14ac:dyDescent="0.2">
      <c r="A54" s="29" t="s">
        <v>145</v>
      </c>
      <c r="B54" s="31">
        <v>5.0999999999999996</v>
      </c>
      <c r="C54" s="30">
        <v>17</v>
      </c>
      <c r="D54" s="30">
        <v>5</v>
      </c>
    </row>
    <row r="55" spans="1:4" ht="15" x14ac:dyDescent="0.2">
      <c r="A55" s="29" t="s">
        <v>146</v>
      </c>
      <c r="B55" s="31">
        <v>5.0999999999999996</v>
      </c>
      <c r="C55" s="30">
        <v>17</v>
      </c>
      <c r="D55" s="30">
        <v>5</v>
      </c>
    </row>
    <row r="56" spans="1:4" ht="15" x14ac:dyDescent="0.2">
      <c r="A56" s="29" t="s">
        <v>147</v>
      </c>
      <c r="B56" s="31">
        <v>5.0999999999999996</v>
      </c>
      <c r="C56" s="30">
        <v>17</v>
      </c>
      <c r="D56" s="30">
        <v>5</v>
      </c>
    </row>
    <row r="57" spans="1:4" ht="15" x14ac:dyDescent="0.2">
      <c r="A57" s="29" t="s">
        <v>148</v>
      </c>
      <c r="B57" s="31">
        <v>5.0999999999999996</v>
      </c>
      <c r="C57" s="30">
        <v>17</v>
      </c>
      <c r="D57" s="30">
        <v>5</v>
      </c>
    </row>
    <row r="58" spans="1:4" ht="15" x14ac:dyDescent="0.2">
      <c r="A58" s="29" t="s">
        <v>149</v>
      </c>
      <c r="B58" s="31">
        <v>5.0999999999999996</v>
      </c>
      <c r="C58" s="30">
        <v>17</v>
      </c>
      <c r="D58" s="30">
        <v>5</v>
      </c>
    </row>
    <row r="59" spans="1:4" ht="15" x14ac:dyDescent="0.2">
      <c r="A59" s="29" t="s">
        <v>150</v>
      </c>
      <c r="B59" s="31">
        <v>5.0999999999999996</v>
      </c>
      <c r="C59" s="30">
        <v>17</v>
      </c>
      <c r="D59" s="30">
        <v>5</v>
      </c>
    </row>
    <row r="60" spans="1:4" ht="15" x14ac:dyDescent="0.2">
      <c r="A60" s="29" t="s">
        <v>151</v>
      </c>
      <c r="B60" s="31">
        <v>5.0999999999999996</v>
      </c>
      <c r="C60" s="30">
        <v>17</v>
      </c>
      <c r="D60" s="30">
        <v>5</v>
      </c>
    </row>
    <row r="61" spans="1:4" ht="15" x14ac:dyDescent="0.2">
      <c r="A61" s="29" t="s">
        <v>152</v>
      </c>
      <c r="B61" s="31">
        <v>5.0999999999999996</v>
      </c>
      <c r="C61" s="30">
        <v>17</v>
      </c>
      <c r="D61" s="30">
        <v>5</v>
      </c>
    </row>
    <row r="62" spans="1:4" ht="15" x14ac:dyDescent="0.2">
      <c r="A62" s="29" t="s">
        <v>153</v>
      </c>
      <c r="B62" s="31">
        <v>5.0999999999999996</v>
      </c>
      <c r="C62" s="30">
        <v>17</v>
      </c>
      <c r="D62" s="30">
        <v>5</v>
      </c>
    </row>
    <row r="63" spans="1:4" ht="15" x14ac:dyDescent="0.2">
      <c r="A63" s="29" t="s">
        <v>154</v>
      </c>
      <c r="B63" s="31">
        <v>5.0999999999999996</v>
      </c>
      <c r="C63" s="30">
        <v>17</v>
      </c>
      <c r="D63" s="30">
        <v>5</v>
      </c>
    </row>
    <row r="64" spans="1:4" ht="15" x14ac:dyDescent="0.2">
      <c r="A64" s="29" t="s">
        <v>155</v>
      </c>
      <c r="B64" s="31">
        <v>5.0999999999999996</v>
      </c>
      <c r="C64" s="30">
        <v>17</v>
      </c>
      <c r="D64" s="30">
        <v>5</v>
      </c>
    </row>
    <row r="65" spans="1:4" ht="15" x14ac:dyDescent="0.2">
      <c r="A65" s="29" t="s">
        <v>156</v>
      </c>
      <c r="B65" s="31">
        <v>5.0999999999999996</v>
      </c>
      <c r="C65" s="30">
        <v>17</v>
      </c>
      <c r="D65" s="30">
        <v>5</v>
      </c>
    </row>
    <row r="66" spans="1:4" ht="15" x14ac:dyDescent="0.2">
      <c r="A66" s="29" t="s">
        <v>157</v>
      </c>
      <c r="B66" s="31">
        <v>5.0999999999999996</v>
      </c>
      <c r="C66" s="30">
        <v>17</v>
      </c>
      <c r="D66" s="30">
        <v>5</v>
      </c>
    </row>
    <row r="67" spans="1:4" ht="15" x14ac:dyDescent="0.2">
      <c r="A67" s="29" t="s">
        <v>158</v>
      </c>
      <c r="B67" s="31">
        <v>5.0999999999999996</v>
      </c>
      <c r="C67" s="30">
        <v>17</v>
      </c>
      <c r="D67" s="30">
        <v>5</v>
      </c>
    </row>
    <row r="68" spans="1:4" ht="15" x14ac:dyDescent="0.2">
      <c r="A68" s="29" t="s">
        <v>159</v>
      </c>
      <c r="B68" s="31">
        <v>5.0999999999999996</v>
      </c>
      <c r="C68" s="30">
        <v>17</v>
      </c>
      <c r="D68" s="30">
        <v>5</v>
      </c>
    </row>
    <row r="69" spans="1:4" ht="15" x14ac:dyDescent="0.2">
      <c r="A69" s="29" t="s">
        <v>160</v>
      </c>
      <c r="B69" s="31">
        <v>5.0999999999999996</v>
      </c>
      <c r="C69" s="30">
        <v>17</v>
      </c>
      <c r="D69" s="30">
        <v>5</v>
      </c>
    </row>
    <row r="70" spans="1:4" ht="15" x14ac:dyDescent="0.2">
      <c r="A70" s="29" t="s">
        <v>161</v>
      </c>
      <c r="B70" s="31">
        <v>5.0999999999999996</v>
      </c>
      <c r="C70" s="30">
        <v>17</v>
      </c>
      <c r="D70" s="30">
        <v>5</v>
      </c>
    </row>
    <row r="71" spans="1:4" ht="15" x14ac:dyDescent="0.2">
      <c r="A71" s="29" t="s">
        <v>162</v>
      </c>
      <c r="B71" s="31">
        <v>5.0999999999999996</v>
      </c>
      <c r="C71" s="30">
        <v>17</v>
      </c>
      <c r="D71" s="30">
        <v>5</v>
      </c>
    </row>
    <row r="72" spans="1:4" ht="15" x14ac:dyDescent="0.2">
      <c r="A72" s="29" t="s">
        <v>163</v>
      </c>
      <c r="B72" s="31">
        <v>5.0999999999999996</v>
      </c>
      <c r="C72" s="30">
        <v>17</v>
      </c>
      <c r="D72" s="30">
        <v>5</v>
      </c>
    </row>
    <row r="73" spans="1:4" ht="15" x14ac:dyDescent="0.2">
      <c r="A73" s="29" t="s">
        <v>164</v>
      </c>
      <c r="B73" s="31">
        <v>5.0999999999999996</v>
      </c>
      <c r="C73" s="30">
        <v>17</v>
      </c>
      <c r="D73" s="30">
        <v>5</v>
      </c>
    </row>
    <row r="74" spans="1:4" ht="15" x14ac:dyDescent="0.2">
      <c r="A74" s="29" t="s">
        <v>165</v>
      </c>
      <c r="B74" s="31">
        <v>5.0999999999999996</v>
      </c>
      <c r="C74" s="30">
        <v>17</v>
      </c>
      <c r="D74" s="30">
        <v>5</v>
      </c>
    </row>
    <row r="75" spans="1:4" ht="15" x14ac:dyDescent="0.2">
      <c r="A75" s="29" t="s">
        <v>166</v>
      </c>
      <c r="B75" s="31">
        <v>5.0999999999999996</v>
      </c>
      <c r="C75" s="30">
        <v>17</v>
      </c>
      <c r="D75" s="30">
        <v>5</v>
      </c>
    </row>
    <row r="76" spans="1:4" ht="15" x14ac:dyDescent="0.2">
      <c r="A76" s="29" t="s">
        <v>167</v>
      </c>
      <c r="B76" s="31">
        <v>5.0999999999999996</v>
      </c>
      <c r="C76" s="30">
        <v>17</v>
      </c>
      <c r="D76" s="30">
        <v>5</v>
      </c>
    </row>
    <row r="77" spans="1:4" ht="15" x14ac:dyDescent="0.2">
      <c r="A77" s="29" t="s">
        <v>168</v>
      </c>
      <c r="B77" s="31">
        <v>5.0999999999999996</v>
      </c>
      <c r="C77" s="30">
        <v>17</v>
      </c>
      <c r="D77" s="30">
        <v>5</v>
      </c>
    </row>
    <row r="78" spans="1:4" ht="15" x14ac:dyDescent="0.2">
      <c r="A78" s="29" t="s">
        <v>169</v>
      </c>
      <c r="B78" s="31">
        <v>5.0999999999999996</v>
      </c>
      <c r="C78" s="30">
        <v>17</v>
      </c>
      <c r="D78" s="30">
        <v>5</v>
      </c>
    </row>
    <row r="79" spans="1:4" ht="15" x14ac:dyDescent="0.2">
      <c r="A79" s="29" t="s">
        <v>170</v>
      </c>
      <c r="B79" s="31">
        <v>5.0999999999999996</v>
      </c>
      <c r="C79" s="30">
        <v>17</v>
      </c>
      <c r="D79" s="30">
        <v>5</v>
      </c>
    </row>
    <row r="80" spans="1:4" ht="15" x14ac:dyDescent="0.2">
      <c r="A80" s="29" t="s">
        <v>171</v>
      </c>
      <c r="B80" s="31">
        <v>5.0999999999999996</v>
      </c>
      <c r="C80" s="30">
        <v>17</v>
      </c>
      <c r="D80" s="30">
        <v>5</v>
      </c>
    </row>
    <row r="81" spans="1:4" ht="15" x14ac:dyDescent="0.2">
      <c r="A81" s="29" t="s">
        <v>172</v>
      </c>
      <c r="B81" s="31">
        <v>5.0999999999999996</v>
      </c>
      <c r="C81" s="30">
        <v>17</v>
      </c>
      <c r="D81" s="30">
        <v>5</v>
      </c>
    </row>
    <row r="82" spans="1:4" ht="15" x14ac:dyDescent="0.2">
      <c r="A82" s="29" t="s">
        <v>173</v>
      </c>
      <c r="B82" s="31">
        <v>5.0999999999999996</v>
      </c>
      <c r="C82" s="30">
        <v>17</v>
      </c>
      <c r="D82" s="30">
        <v>5</v>
      </c>
    </row>
    <row r="83" spans="1:4" ht="15" x14ac:dyDescent="0.2">
      <c r="A83" s="29" t="s">
        <v>174</v>
      </c>
      <c r="B83" s="31">
        <v>5.0999999999999996</v>
      </c>
      <c r="C83" s="30">
        <v>17</v>
      </c>
      <c r="D83" s="30">
        <v>5</v>
      </c>
    </row>
    <row r="84" spans="1:4" ht="15" x14ac:dyDescent="0.2">
      <c r="A84" s="29" t="s">
        <v>175</v>
      </c>
      <c r="B84" s="31">
        <v>5.0999999999999996</v>
      </c>
      <c r="C84" s="30">
        <v>17</v>
      </c>
      <c r="D84" s="30">
        <v>5</v>
      </c>
    </row>
    <row r="85" spans="1:4" ht="15" x14ac:dyDescent="0.2">
      <c r="A85" s="29" t="s">
        <v>176</v>
      </c>
      <c r="B85" s="31">
        <v>5.0999999999999996</v>
      </c>
      <c r="C85" s="30">
        <v>17</v>
      </c>
      <c r="D85" s="30">
        <v>5</v>
      </c>
    </row>
    <row r="86" spans="1:4" ht="15" x14ac:dyDescent="0.2">
      <c r="A86" s="29" t="s">
        <v>177</v>
      </c>
      <c r="B86" s="31">
        <v>5.0999999999999996</v>
      </c>
      <c r="C86" s="30">
        <v>17</v>
      </c>
      <c r="D86" s="30">
        <v>5</v>
      </c>
    </row>
    <row r="87" spans="1:4" ht="15" x14ac:dyDescent="0.2">
      <c r="A87" s="29" t="s">
        <v>178</v>
      </c>
      <c r="B87" s="31">
        <v>5.0999999999999996</v>
      </c>
      <c r="C87" s="30">
        <v>17</v>
      </c>
      <c r="D87" s="30">
        <v>5</v>
      </c>
    </row>
    <row r="88" spans="1:4" ht="15" x14ac:dyDescent="0.2">
      <c r="A88" s="29" t="s">
        <v>179</v>
      </c>
      <c r="B88" s="31">
        <v>5.0999999999999996</v>
      </c>
      <c r="C88" s="30">
        <v>17</v>
      </c>
      <c r="D88" s="30">
        <v>5</v>
      </c>
    </row>
    <row r="89" spans="1:4" ht="15" x14ac:dyDescent="0.2">
      <c r="A89" s="29" t="s">
        <v>180</v>
      </c>
      <c r="B89" s="31">
        <v>5.0999999999999996</v>
      </c>
      <c r="C89" s="30">
        <v>17</v>
      </c>
      <c r="D89" s="30">
        <v>5</v>
      </c>
    </row>
    <row r="90" spans="1:4" ht="15" x14ac:dyDescent="0.2">
      <c r="A90" s="29" t="s">
        <v>181</v>
      </c>
      <c r="B90" s="31">
        <v>5.0999999999999996</v>
      </c>
      <c r="C90" s="30">
        <v>17</v>
      </c>
      <c r="D90" s="30">
        <v>5</v>
      </c>
    </row>
    <row r="91" spans="1:4" ht="15" x14ac:dyDescent="0.2">
      <c r="A91" s="29" t="s">
        <v>174</v>
      </c>
      <c r="B91" s="31">
        <v>5.0999999999999996</v>
      </c>
      <c r="C91" s="30">
        <v>17</v>
      </c>
      <c r="D91" s="30">
        <v>5</v>
      </c>
    </row>
    <row r="92" spans="1:4" ht="15" x14ac:dyDescent="0.2">
      <c r="A92" s="29" t="s">
        <v>182</v>
      </c>
      <c r="B92" s="31">
        <v>5.0999999999999996</v>
      </c>
      <c r="C92" s="30">
        <v>17</v>
      </c>
      <c r="D92" s="30">
        <v>5</v>
      </c>
    </row>
    <row r="93" spans="1:4" ht="15" x14ac:dyDescent="0.2">
      <c r="A93" s="29" t="s">
        <v>183</v>
      </c>
      <c r="B93" s="31">
        <v>5.0999999999999996</v>
      </c>
      <c r="C93" s="30">
        <v>17</v>
      </c>
      <c r="D93" s="30">
        <v>5</v>
      </c>
    </row>
    <row r="94" spans="1:4" ht="15" x14ac:dyDescent="0.2">
      <c r="A94" s="29" t="s">
        <v>184</v>
      </c>
      <c r="B94" s="31">
        <v>5.0999999999999996</v>
      </c>
      <c r="C94" s="30">
        <v>17</v>
      </c>
      <c r="D94" s="30">
        <v>5</v>
      </c>
    </row>
    <row r="95" spans="1:4" ht="15" x14ac:dyDescent="0.2">
      <c r="A95" s="29" t="s">
        <v>185</v>
      </c>
      <c r="B95" s="31">
        <v>5.0999999999999996</v>
      </c>
      <c r="C95" s="30">
        <v>17</v>
      </c>
      <c r="D95" s="30">
        <v>5</v>
      </c>
    </row>
    <row r="96" spans="1:4" ht="15" x14ac:dyDescent="0.2">
      <c r="A96" s="29" t="s">
        <v>186</v>
      </c>
      <c r="B96" s="31">
        <v>5.0999999999999996</v>
      </c>
      <c r="C96" s="30">
        <v>17</v>
      </c>
      <c r="D96" s="30">
        <v>5</v>
      </c>
    </row>
    <row r="97" spans="1:4" ht="15" x14ac:dyDescent="0.2">
      <c r="A97" s="29" t="s">
        <v>187</v>
      </c>
      <c r="B97" s="31">
        <v>5.0999999999999996</v>
      </c>
      <c r="C97" s="30">
        <v>17</v>
      </c>
      <c r="D97" s="30">
        <v>5</v>
      </c>
    </row>
    <row r="98" spans="1:4" ht="15" x14ac:dyDescent="0.2">
      <c r="A98" s="29" t="s">
        <v>188</v>
      </c>
      <c r="B98" s="31">
        <v>5.0999999999999996</v>
      </c>
      <c r="C98" s="30">
        <v>17</v>
      </c>
      <c r="D98" s="30">
        <v>5</v>
      </c>
    </row>
    <row r="99" spans="1:4" ht="15" x14ac:dyDescent="0.2">
      <c r="A99" s="29" t="s">
        <v>189</v>
      </c>
      <c r="B99" s="31">
        <v>5.0999999999999996</v>
      </c>
      <c r="C99" s="30">
        <v>17</v>
      </c>
      <c r="D99" s="30">
        <v>5</v>
      </c>
    </row>
    <row r="100" spans="1:4" ht="15" x14ac:dyDescent="0.2">
      <c r="A100" s="29" t="s">
        <v>190</v>
      </c>
      <c r="B100" s="31">
        <v>5.0999999999999996</v>
      </c>
      <c r="C100" s="30">
        <v>17</v>
      </c>
      <c r="D100" s="30">
        <v>5</v>
      </c>
    </row>
    <row r="101" spans="1:4" ht="15" x14ac:dyDescent="0.2">
      <c r="A101" s="29" t="s">
        <v>191</v>
      </c>
      <c r="B101" s="31">
        <v>5.0999999999999996</v>
      </c>
      <c r="C101" s="30">
        <v>17</v>
      </c>
      <c r="D101" s="30">
        <v>5</v>
      </c>
    </row>
    <row r="102" spans="1:4" ht="15" x14ac:dyDescent="0.2">
      <c r="A102" s="29" t="s">
        <v>192</v>
      </c>
      <c r="B102" s="31">
        <v>5.0999999999999996</v>
      </c>
      <c r="C102" s="30">
        <v>17</v>
      </c>
      <c r="D102" s="30">
        <v>5</v>
      </c>
    </row>
    <row r="103" spans="1:4" ht="15" x14ac:dyDescent="0.2">
      <c r="A103" s="29" t="s">
        <v>193</v>
      </c>
      <c r="B103" s="31">
        <v>5.0999999999999996</v>
      </c>
      <c r="C103" s="30">
        <v>17</v>
      </c>
      <c r="D103" s="30">
        <v>5</v>
      </c>
    </row>
    <row r="104" spans="1:4" ht="15" x14ac:dyDescent="0.2">
      <c r="A104" s="29" t="s">
        <v>194</v>
      </c>
      <c r="B104" s="31">
        <v>5.0999999999999996</v>
      </c>
      <c r="C104" s="30">
        <v>17</v>
      </c>
      <c r="D104" s="30">
        <v>5</v>
      </c>
    </row>
    <row r="105" spans="1:4" ht="15" x14ac:dyDescent="0.2">
      <c r="A105" s="29" t="s">
        <v>195</v>
      </c>
      <c r="B105" s="31">
        <v>5.0999999999999996</v>
      </c>
      <c r="C105" s="30">
        <v>17</v>
      </c>
      <c r="D105" s="30">
        <v>5</v>
      </c>
    </row>
    <row r="106" spans="1:4" x14ac:dyDescent="0.15">
      <c r="A106" s="25" t="s">
        <v>196</v>
      </c>
      <c r="B106" s="31">
        <v>5.0999999999999996</v>
      </c>
      <c r="C106" s="30">
        <v>17</v>
      </c>
      <c r="D106" s="30">
        <v>5</v>
      </c>
    </row>
    <row r="107" spans="1:4" x14ac:dyDescent="0.15">
      <c r="A107" t="s">
        <v>197</v>
      </c>
      <c r="B107" s="31">
        <v>5.0999999999999996</v>
      </c>
      <c r="C107" s="30">
        <v>17</v>
      </c>
      <c r="D107" s="30">
        <v>5</v>
      </c>
    </row>
    <row r="108" spans="1:4" x14ac:dyDescent="0.15">
      <c r="A108" t="s">
        <v>176</v>
      </c>
      <c r="B108" s="31">
        <v>5.0999999999999996</v>
      </c>
      <c r="C108" s="30">
        <v>17</v>
      </c>
      <c r="D108" s="30">
        <v>5</v>
      </c>
    </row>
    <row r="109" spans="1:4" x14ac:dyDescent="0.15">
      <c r="A109" t="s">
        <v>198</v>
      </c>
      <c r="B109" s="31">
        <v>5.0999999999999996</v>
      </c>
      <c r="C109" s="30">
        <v>17</v>
      </c>
      <c r="D109" s="30">
        <v>5</v>
      </c>
    </row>
    <row r="110" spans="1:4" x14ac:dyDescent="0.15">
      <c r="A110" t="s">
        <v>199</v>
      </c>
      <c r="B110" s="31">
        <v>5.0999999999999996</v>
      </c>
      <c r="C110" s="30">
        <v>17</v>
      </c>
      <c r="D110" s="30">
        <v>5</v>
      </c>
    </row>
    <row r="111" spans="1:4" x14ac:dyDescent="0.15">
      <c r="A111" t="s">
        <v>200</v>
      </c>
      <c r="B111" s="31">
        <v>5.0999999999999996</v>
      </c>
      <c r="C111" s="30">
        <v>17</v>
      </c>
      <c r="D111" s="30">
        <v>5</v>
      </c>
    </row>
    <row r="112" spans="1:4" x14ac:dyDescent="0.15">
      <c r="A112" t="s">
        <v>201</v>
      </c>
      <c r="B112" s="31">
        <v>5.0999999999999996</v>
      </c>
      <c r="C112" s="30">
        <v>17</v>
      </c>
      <c r="D112" s="30">
        <v>5</v>
      </c>
    </row>
    <row r="113" spans="1:4" x14ac:dyDescent="0.15">
      <c r="A113" t="s">
        <v>202</v>
      </c>
      <c r="B113" s="31">
        <v>5.0999999999999996</v>
      </c>
      <c r="C113" s="30">
        <v>17</v>
      </c>
      <c r="D113" s="30">
        <v>5</v>
      </c>
    </row>
    <row r="114" spans="1:4" x14ac:dyDescent="0.15">
      <c r="A114" s="25" t="s">
        <v>203</v>
      </c>
      <c r="B114" s="31">
        <v>5.0999999999999996</v>
      </c>
      <c r="C114" s="30">
        <v>17</v>
      </c>
      <c r="D114" s="30">
        <v>5</v>
      </c>
    </row>
    <row r="115" spans="1:4" x14ac:dyDescent="0.15">
      <c r="A115" s="25" t="s">
        <v>204</v>
      </c>
      <c r="B115" s="31">
        <v>5.0999999999999996</v>
      </c>
      <c r="C115" s="30">
        <v>17</v>
      </c>
      <c r="D115" s="30">
        <v>5</v>
      </c>
    </row>
    <row r="116" spans="1:4" x14ac:dyDescent="0.15">
      <c r="A116" s="25" t="s">
        <v>205</v>
      </c>
      <c r="B116" s="31">
        <v>5.0999999999999996</v>
      </c>
      <c r="C116" s="30">
        <v>17</v>
      </c>
      <c r="D116" s="30">
        <v>5</v>
      </c>
    </row>
    <row r="117" spans="1:4" x14ac:dyDescent="0.15">
      <c r="A117" s="25" t="s">
        <v>206</v>
      </c>
      <c r="B117" s="31">
        <v>5.0999999999999996</v>
      </c>
      <c r="C117" s="30">
        <v>17</v>
      </c>
      <c r="D117" s="30">
        <v>5</v>
      </c>
    </row>
    <row r="118" spans="1:4" x14ac:dyDescent="0.15">
      <c r="A118" s="25" t="s">
        <v>207</v>
      </c>
      <c r="B118" s="31">
        <v>5.0999999999999996</v>
      </c>
      <c r="C118" s="30">
        <v>17</v>
      </c>
      <c r="D118" s="30">
        <v>5</v>
      </c>
    </row>
    <row r="119" spans="1:4" x14ac:dyDescent="0.15">
      <c r="A119" s="25" t="s">
        <v>208</v>
      </c>
      <c r="B119" s="31">
        <v>5.0999999999999996</v>
      </c>
      <c r="C119" s="30">
        <v>17</v>
      </c>
      <c r="D119" s="30">
        <v>5</v>
      </c>
    </row>
    <row r="120" spans="1:4" x14ac:dyDescent="0.15">
      <c r="A120" t="s">
        <v>209</v>
      </c>
      <c r="B120" s="31">
        <v>5.0999999999999996</v>
      </c>
      <c r="C120" s="30">
        <v>17</v>
      </c>
      <c r="D120" s="30">
        <v>5</v>
      </c>
    </row>
    <row r="121" spans="1:4" x14ac:dyDescent="0.15">
      <c r="A121" t="s">
        <v>210</v>
      </c>
      <c r="B121" s="31">
        <v>5.0999999999999996</v>
      </c>
      <c r="C121" s="30">
        <v>17</v>
      </c>
      <c r="D121" s="30">
        <v>5</v>
      </c>
    </row>
    <row r="122" spans="1:4" x14ac:dyDescent="0.15">
      <c r="A122" t="s">
        <v>211</v>
      </c>
      <c r="B122" s="31">
        <v>5.0999999999999996</v>
      </c>
      <c r="C122" s="30">
        <v>17</v>
      </c>
      <c r="D122" s="30">
        <v>5</v>
      </c>
    </row>
    <row r="123" spans="1:4" x14ac:dyDescent="0.15">
      <c r="A123" t="s">
        <v>212</v>
      </c>
      <c r="B123" s="31">
        <v>5.0999999999999996</v>
      </c>
      <c r="C123" s="30">
        <v>17</v>
      </c>
      <c r="D123" s="30">
        <v>5</v>
      </c>
    </row>
    <row r="124" spans="1:4" x14ac:dyDescent="0.15">
      <c r="A124" t="s">
        <v>213</v>
      </c>
      <c r="B124" s="31">
        <v>5.0999999999999996</v>
      </c>
      <c r="C124" s="30">
        <v>17</v>
      </c>
      <c r="D124" s="30">
        <v>5</v>
      </c>
    </row>
    <row r="125" spans="1:4" x14ac:dyDescent="0.15">
      <c r="A125" t="s">
        <v>214</v>
      </c>
      <c r="B125" s="31">
        <v>5.0999999999999996</v>
      </c>
      <c r="C125" s="30">
        <v>17</v>
      </c>
      <c r="D125" s="30">
        <v>5</v>
      </c>
    </row>
    <row r="126" spans="1:4" x14ac:dyDescent="0.15">
      <c r="A126" t="s">
        <v>215</v>
      </c>
      <c r="B126" s="31">
        <v>5.0999999999999996</v>
      </c>
      <c r="C126" s="30">
        <v>17</v>
      </c>
      <c r="D126" s="30">
        <v>5</v>
      </c>
    </row>
    <row r="127" spans="1:4" x14ac:dyDescent="0.15">
      <c r="A127" t="s">
        <v>216</v>
      </c>
      <c r="B127" s="31">
        <v>5.0999999999999996</v>
      </c>
      <c r="C127" s="30">
        <v>17</v>
      </c>
      <c r="D127" s="30">
        <v>5</v>
      </c>
    </row>
    <row r="128" spans="1:4" x14ac:dyDescent="0.15">
      <c r="A128" t="s">
        <v>217</v>
      </c>
      <c r="B128" s="31">
        <v>5.0999999999999996</v>
      </c>
      <c r="C128" s="30">
        <v>17</v>
      </c>
      <c r="D128" s="30">
        <v>5</v>
      </c>
    </row>
    <row r="129" spans="1:4" x14ac:dyDescent="0.15">
      <c r="A129" t="s">
        <v>218</v>
      </c>
      <c r="B129" s="31">
        <v>5.0999999999999996</v>
      </c>
      <c r="C129" s="30">
        <v>17</v>
      </c>
      <c r="D129" s="30">
        <v>5</v>
      </c>
    </row>
    <row r="130" spans="1:4" x14ac:dyDescent="0.15">
      <c r="A130" t="s">
        <v>219</v>
      </c>
      <c r="B130" s="31">
        <v>5.0999999999999996</v>
      </c>
      <c r="C130" s="30">
        <v>17</v>
      </c>
      <c r="D130" s="30">
        <v>5</v>
      </c>
    </row>
    <row r="131" spans="1:4" x14ac:dyDescent="0.15">
      <c r="A131" t="s">
        <v>220</v>
      </c>
      <c r="B131" s="31">
        <v>5.0999999999999996</v>
      </c>
      <c r="C131" s="30">
        <v>17</v>
      </c>
      <c r="D131" s="30">
        <v>5</v>
      </c>
    </row>
    <row r="132" spans="1:4" x14ac:dyDescent="0.15">
      <c r="A132" t="s">
        <v>221</v>
      </c>
      <c r="B132" s="31">
        <v>5.0999999999999996</v>
      </c>
      <c r="C132" s="30">
        <v>17</v>
      </c>
      <c r="D132" s="30">
        <v>5</v>
      </c>
    </row>
    <row r="133" spans="1:4" x14ac:dyDescent="0.15">
      <c r="A133" t="s">
        <v>222</v>
      </c>
      <c r="B133" s="31">
        <v>5.0999999999999996</v>
      </c>
      <c r="C133" s="30">
        <v>17</v>
      </c>
      <c r="D133" s="30">
        <v>5</v>
      </c>
    </row>
    <row r="134" spans="1:4" x14ac:dyDescent="0.15">
      <c r="A134" t="s">
        <v>223</v>
      </c>
      <c r="B134" s="31">
        <v>5.0999999999999996</v>
      </c>
      <c r="C134" s="30">
        <v>17</v>
      </c>
      <c r="D134" s="30">
        <v>5</v>
      </c>
    </row>
    <row r="135" spans="1:4" x14ac:dyDescent="0.15">
      <c r="A135" t="s">
        <v>224</v>
      </c>
      <c r="B135" s="31">
        <v>5.0999999999999996</v>
      </c>
      <c r="C135" s="30">
        <v>17</v>
      </c>
      <c r="D135" s="30">
        <v>5</v>
      </c>
    </row>
    <row r="136" spans="1:4" x14ac:dyDescent="0.15">
      <c r="A136" t="s">
        <v>225</v>
      </c>
      <c r="B136" s="31">
        <v>5.0999999999999996</v>
      </c>
      <c r="C136" s="30">
        <v>17</v>
      </c>
      <c r="D136" s="30">
        <v>5</v>
      </c>
    </row>
    <row r="137" spans="1:4" x14ac:dyDescent="0.15">
      <c r="A137" t="s">
        <v>226</v>
      </c>
      <c r="B137" s="31">
        <v>5.0999999999999996</v>
      </c>
      <c r="C137" s="30">
        <v>17</v>
      </c>
      <c r="D137" s="30">
        <v>5</v>
      </c>
    </row>
    <row r="138" spans="1:4" x14ac:dyDescent="0.15">
      <c r="A138" t="s">
        <v>227</v>
      </c>
      <c r="B138" s="31">
        <v>5.0999999999999996</v>
      </c>
      <c r="C138" s="30">
        <v>17</v>
      </c>
      <c r="D138" s="30">
        <v>5</v>
      </c>
    </row>
    <row r="139" spans="1:4" x14ac:dyDescent="0.15">
      <c r="A139" t="s">
        <v>228</v>
      </c>
      <c r="B139" s="31">
        <v>5.0999999999999996</v>
      </c>
      <c r="C139" s="30">
        <v>17</v>
      </c>
      <c r="D139" s="30">
        <v>5</v>
      </c>
    </row>
    <row r="140" spans="1:4" x14ac:dyDescent="0.15">
      <c r="A140" t="s">
        <v>229</v>
      </c>
      <c r="B140" s="31">
        <v>5.0999999999999996</v>
      </c>
      <c r="C140" s="30">
        <v>17</v>
      </c>
      <c r="D140" s="30">
        <v>5</v>
      </c>
    </row>
    <row r="141" spans="1:4" x14ac:dyDescent="0.15">
      <c r="A141" t="s">
        <v>230</v>
      </c>
      <c r="B141" s="31">
        <v>5.0999999999999996</v>
      </c>
      <c r="C141" s="30">
        <v>17</v>
      </c>
      <c r="D141" s="30">
        <v>5</v>
      </c>
    </row>
    <row r="142" spans="1:4" x14ac:dyDescent="0.15">
      <c r="A142" t="s">
        <v>231</v>
      </c>
      <c r="B142" s="31">
        <v>5.0999999999999996</v>
      </c>
      <c r="C142" s="30">
        <v>17</v>
      </c>
      <c r="D142" s="30">
        <v>5</v>
      </c>
    </row>
    <row r="143" spans="1:4" x14ac:dyDescent="0.15">
      <c r="A143" t="s">
        <v>232</v>
      </c>
      <c r="B143" s="31">
        <v>5.0999999999999996</v>
      </c>
      <c r="C143" s="30">
        <v>17</v>
      </c>
      <c r="D143" s="30">
        <v>5</v>
      </c>
    </row>
    <row r="144" spans="1:4" x14ac:dyDescent="0.15">
      <c r="A144" t="s">
        <v>233</v>
      </c>
      <c r="B144" s="31">
        <v>5.0999999999999996</v>
      </c>
      <c r="C144" s="30">
        <v>17</v>
      </c>
      <c r="D144" s="30">
        <v>5</v>
      </c>
    </row>
    <row r="145" spans="1:4" x14ac:dyDescent="0.15">
      <c r="A145" t="s">
        <v>234</v>
      </c>
      <c r="B145" s="31">
        <v>5.0999999999999996</v>
      </c>
      <c r="C145" s="30">
        <v>17</v>
      </c>
      <c r="D145" s="30">
        <v>5</v>
      </c>
    </row>
    <row r="146" spans="1:4" x14ac:dyDescent="0.15">
      <c r="A146" t="s">
        <v>235</v>
      </c>
      <c r="B146" s="31">
        <v>5.0999999999999996</v>
      </c>
      <c r="C146" s="30">
        <v>17</v>
      </c>
      <c r="D146" s="30">
        <v>5</v>
      </c>
    </row>
    <row r="147" spans="1:4" x14ac:dyDescent="0.15">
      <c r="A147" t="s">
        <v>236</v>
      </c>
      <c r="B147" s="31">
        <v>5.0999999999999996</v>
      </c>
      <c r="C147" s="30">
        <v>17</v>
      </c>
      <c r="D147" s="30">
        <v>5</v>
      </c>
    </row>
    <row r="148" spans="1:4" x14ac:dyDescent="0.15">
      <c r="A148" t="s">
        <v>237</v>
      </c>
      <c r="B148" s="31">
        <v>5.0999999999999996</v>
      </c>
      <c r="C148" s="30">
        <v>17</v>
      </c>
      <c r="D148" s="30">
        <v>5</v>
      </c>
    </row>
    <row r="149" spans="1:4" x14ac:dyDescent="0.15">
      <c r="A149" t="s">
        <v>238</v>
      </c>
      <c r="B149" s="31">
        <v>5.0999999999999996</v>
      </c>
      <c r="C149" s="30">
        <v>17</v>
      </c>
      <c r="D149" s="30">
        <v>5</v>
      </c>
    </row>
    <row r="150" spans="1:4" x14ac:dyDescent="0.15">
      <c r="A150" t="s">
        <v>239</v>
      </c>
      <c r="B150" s="31">
        <v>5.0999999999999996</v>
      </c>
      <c r="C150" s="30">
        <v>17</v>
      </c>
      <c r="D150" s="30">
        <v>5</v>
      </c>
    </row>
    <row r="151" spans="1:4" x14ac:dyDescent="0.15">
      <c r="A151" t="s">
        <v>240</v>
      </c>
      <c r="B151" s="31">
        <v>5.0999999999999996</v>
      </c>
      <c r="C151" s="30">
        <v>17</v>
      </c>
      <c r="D151" s="30">
        <v>5</v>
      </c>
    </row>
    <row r="152" spans="1:4" x14ac:dyDescent="0.15">
      <c r="A152" t="s">
        <v>241</v>
      </c>
      <c r="B152" s="31">
        <v>5.0999999999999996</v>
      </c>
      <c r="C152" s="30">
        <v>17</v>
      </c>
      <c r="D152" s="30">
        <v>5</v>
      </c>
    </row>
    <row r="153" spans="1:4" x14ac:dyDescent="0.15">
      <c r="A153" t="s">
        <v>242</v>
      </c>
      <c r="B153" s="31">
        <v>5.0999999999999996</v>
      </c>
      <c r="C153" s="30">
        <v>17</v>
      </c>
      <c r="D153" s="30">
        <v>5</v>
      </c>
    </row>
    <row r="154" spans="1:4" x14ac:dyDescent="0.15">
      <c r="A154" t="s">
        <v>243</v>
      </c>
      <c r="B154" s="31">
        <v>5.0999999999999996</v>
      </c>
      <c r="C154" s="30">
        <v>17</v>
      </c>
      <c r="D154" s="30">
        <v>5</v>
      </c>
    </row>
    <row r="155" spans="1:4" x14ac:dyDescent="0.15">
      <c r="A155" t="s">
        <v>244</v>
      </c>
      <c r="B155" s="31">
        <v>5.0999999999999996</v>
      </c>
      <c r="C155" s="30">
        <v>17</v>
      </c>
      <c r="D155" s="30">
        <v>5</v>
      </c>
    </row>
    <row r="156" spans="1:4" x14ac:dyDescent="0.15">
      <c r="A156" t="s">
        <v>245</v>
      </c>
      <c r="B156" s="31">
        <v>5.0999999999999996</v>
      </c>
      <c r="C156" s="30">
        <v>17</v>
      </c>
      <c r="D156" s="30">
        <v>5</v>
      </c>
    </row>
    <row r="157" spans="1:4" x14ac:dyDescent="0.15">
      <c r="A157" t="s">
        <v>246</v>
      </c>
      <c r="B157" s="31">
        <v>5.0999999999999996</v>
      </c>
      <c r="C157" s="30">
        <v>17</v>
      </c>
      <c r="D157" s="30">
        <v>5</v>
      </c>
    </row>
    <row r="158" spans="1:4" x14ac:dyDescent="0.15">
      <c r="A158" t="s">
        <v>247</v>
      </c>
      <c r="B158" s="31">
        <v>5.0999999999999996</v>
      </c>
      <c r="C158" s="30">
        <v>17</v>
      </c>
      <c r="D158" s="30">
        <v>5</v>
      </c>
    </row>
    <row r="159" spans="1:4" x14ac:dyDescent="0.15">
      <c r="A159" t="s">
        <v>248</v>
      </c>
      <c r="B159" s="31">
        <v>5.0999999999999996</v>
      </c>
      <c r="C159" s="30">
        <v>17</v>
      </c>
      <c r="D159" s="30">
        <v>5</v>
      </c>
    </row>
    <row r="160" spans="1:4" x14ac:dyDescent="0.15">
      <c r="A160" t="s">
        <v>249</v>
      </c>
      <c r="B160" s="31">
        <v>5.0999999999999996</v>
      </c>
      <c r="C160" s="30">
        <v>17</v>
      </c>
      <c r="D160" s="30">
        <v>5</v>
      </c>
    </row>
    <row r="161" spans="1:4" x14ac:dyDescent="0.15">
      <c r="A161" t="s">
        <v>250</v>
      </c>
      <c r="B161" s="31">
        <v>5.0999999999999996</v>
      </c>
      <c r="C161" s="30">
        <v>17</v>
      </c>
      <c r="D161" s="30">
        <v>5</v>
      </c>
    </row>
    <row r="162" spans="1:4" x14ac:dyDescent="0.15">
      <c r="A162" t="s">
        <v>251</v>
      </c>
      <c r="B162" s="31">
        <v>5.0999999999999996</v>
      </c>
      <c r="C162" s="30">
        <v>17</v>
      </c>
      <c r="D162" s="30">
        <v>5</v>
      </c>
    </row>
    <row r="163" spans="1:4" x14ac:dyDescent="0.15">
      <c r="A163" t="s">
        <v>252</v>
      </c>
      <c r="B163" s="31">
        <v>5.0999999999999996</v>
      </c>
      <c r="C163" s="30">
        <v>17</v>
      </c>
      <c r="D163" s="30">
        <v>5</v>
      </c>
    </row>
    <row r="164" spans="1:4" x14ac:dyDescent="0.15">
      <c r="A164" t="s">
        <v>253</v>
      </c>
      <c r="B164" s="31">
        <v>5.0999999999999996</v>
      </c>
      <c r="C164" s="30">
        <v>17</v>
      </c>
      <c r="D164" s="30">
        <v>5</v>
      </c>
    </row>
    <row r="165" spans="1:4" x14ac:dyDescent="0.15">
      <c r="A165" t="s">
        <v>254</v>
      </c>
      <c r="B165" s="31">
        <v>5.0999999999999996</v>
      </c>
      <c r="C165" s="30">
        <v>17</v>
      </c>
      <c r="D165" s="30">
        <v>5</v>
      </c>
    </row>
    <row r="166" spans="1:4" x14ac:dyDescent="0.15">
      <c r="A166" t="s">
        <v>255</v>
      </c>
      <c r="B166" s="31">
        <v>5.0999999999999996</v>
      </c>
      <c r="C166" s="30">
        <v>17</v>
      </c>
      <c r="D166" s="30">
        <v>5</v>
      </c>
    </row>
    <row r="167" spans="1:4" x14ac:dyDescent="0.15">
      <c r="A167" t="s">
        <v>256</v>
      </c>
      <c r="B167" s="31">
        <v>5.0999999999999996</v>
      </c>
      <c r="C167" s="30">
        <v>17</v>
      </c>
      <c r="D167" s="30">
        <v>5</v>
      </c>
    </row>
    <row r="168" spans="1:4" x14ac:dyDescent="0.15">
      <c r="A168" t="s">
        <v>257</v>
      </c>
      <c r="B168" s="31">
        <v>5.0999999999999996</v>
      </c>
      <c r="C168" s="30">
        <v>17</v>
      </c>
      <c r="D168" s="30">
        <v>5</v>
      </c>
    </row>
    <row r="169" spans="1:4" x14ac:dyDescent="0.15">
      <c r="A169" t="s">
        <v>258</v>
      </c>
      <c r="B169" s="31">
        <v>5.0999999999999996</v>
      </c>
      <c r="C169" s="30">
        <v>17</v>
      </c>
      <c r="D169" s="30">
        <v>5</v>
      </c>
    </row>
    <row r="170" spans="1:4" x14ac:dyDescent="0.15">
      <c r="A170" t="s">
        <v>259</v>
      </c>
      <c r="B170" s="31">
        <v>5.0999999999999996</v>
      </c>
      <c r="C170" s="30">
        <v>17</v>
      </c>
      <c r="D170" s="30">
        <v>5</v>
      </c>
    </row>
    <row r="171" spans="1:4" x14ac:dyDescent="0.15">
      <c r="A171" t="s">
        <v>260</v>
      </c>
      <c r="B171" s="31">
        <v>5.0999999999999996</v>
      </c>
      <c r="C171" s="30">
        <v>17</v>
      </c>
      <c r="D171" s="30">
        <v>5</v>
      </c>
    </row>
    <row r="172" spans="1:4" x14ac:dyDescent="0.15">
      <c r="A172" t="s">
        <v>261</v>
      </c>
      <c r="B172" s="31">
        <v>5.0999999999999996</v>
      </c>
      <c r="C172" s="30">
        <v>17</v>
      </c>
      <c r="D172" s="30">
        <v>5</v>
      </c>
    </row>
    <row r="173" spans="1:4" x14ac:dyDescent="0.15">
      <c r="A173" t="s">
        <v>262</v>
      </c>
      <c r="B173" s="31">
        <v>5.0999999999999996</v>
      </c>
      <c r="C173" s="30">
        <v>17</v>
      </c>
      <c r="D173" s="30">
        <v>5</v>
      </c>
    </row>
    <row r="174" spans="1:4" x14ac:dyDescent="0.15">
      <c r="A174" t="s">
        <v>263</v>
      </c>
      <c r="B174" s="31">
        <v>5.0999999999999996</v>
      </c>
      <c r="C174" s="30">
        <v>17</v>
      </c>
      <c r="D174" s="30">
        <v>5</v>
      </c>
    </row>
    <row r="175" spans="1:4" x14ac:dyDescent="0.15">
      <c r="A175" t="s">
        <v>264</v>
      </c>
      <c r="B175" s="31">
        <v>5.0999999999999996</v>
      </c>
      <c r="C175" s="30">
        <v>17</v>
      </c>
      <c r="D175" s="30">
        <v>5</v>
      </c>
    </row>
    <row r="176" spans="1:4" x14ac:dyDescent="0.15">
      <c r="A176" t="s">
        <v>265</v>
      </c>
      <c r="B176" s="31">
        <v>5.0999999999999996</v>
      </c>
      <c r="C176" s="30">
        <v>17</v>
      </c>
      <c r="D176" s="30">
        <v>5</v>
      </c>
    </row>
    <row r="177" spans="1:4" x14ac:dyDescent="0.15">
      <c r="A177" t="s">
        <v>266</v>
      </c>
      <c r="B177" s="31">
        <v>5.0999999999999996</v>
      </c>
      <c r="C177" s="30">
        <v>17</v>
      </c>
      <c r="D177" s="30">
        <v>5</v>
      </c>
    </row>
    <row r="178" spans="1:4" x14ac:dyDescent="0.15">
      <c r="A178" t="s">
        <v>267</v>
      </c>
      <c r="B178" s="31">
        <v>5.0999999999999996</v>
      </c>
      <c r="C178" s="30">
        <v>17</v>
      </c>
      <c r="D178" s="30">
        <v>5</v>
      </c>
    </row>
    <row r="179" spans="1:4" x14ac:dyDescent="0.15">
      <c r="A179" t="s">
        <v>268</v>
      </c>
      <c r="B179" s="31">
        <v>5.0999999999999996</v>
      </c>
      <c r="C179" s="30">
        <v>17</v>
      </c>
      <c r="D179" s="30">
        <v>5</v>
      </c>
    </row>
    <row r="180" spans="1:4" x14ac:dyDescent="0.15">
      <c r="A180" t="s">
        <v>269</v>
      </c>
      <c r="B180" s="31">
        <v>5.0999999999999996</v>
      </c>
      <c r="C180" s="30">
        <v>17</v>
      </c>
      <c r="D180" s="30">
        <v>5</v>
      </c>
    </row>
    <row r="181" spans="1:4" x14ac:dyDescent="0.15">
      <c r="A181" t="s">
        <v>270</v>
      </c>
      <c r="B181" s="31">
        <v>5.0999999999999996</v>
      </c>
      <c r="C181" s="30">
        <v>17</v>
      </c>
      <c r="D181" s="30">
        <v>5</v>
      </c>
    </row>
    <row r="182" spans="1:4" x14ac:dyDescent="0.15">
      <c r="A182" t="s">
        <v>271</v>
      </c>
      <c r="B182" s="31">
        <v>5.0999999999999996</v>
      </c>
      <c r="C182" s="30">
        <v>17</v>
      </c>
      <c r="D182" s="30">
        <v>5</v>
      </c>
    </row>
    <row r="183" spans="1:4" x14ac:dyDescent="0.15">
      <c r="A183" t="s">
        <v>272</v>
      </c>
      <c r="B183" s="31">
        <v>5.0999999999999996</v>
      </c>
      <c r="C183" s="30">
        <v>17</v>
      </c>
      <c r="D183" s="30">
        <v>5</v>
      </c>
    </row>
    <row r="184" spans="1:4" x14ac:dyDescent="0.15">
      <c r="A184" t="s">
        <v>273</v>
      </c>
      <c r="B184" s="31">
        <v>5.0999999999999996</v>
      </c>
      <c r="C184" s="30">
        <v>17</v>
      </c>
      <c r="D184" s="30">
        <v>5</v>
      </c>
    </row>
    <row r="185" spans="1:4" x14ac:dyDescent="0.15">
      <c r="A185" t="s">
        <v>274</v>
      </c>
      <c r="B185" s="31">
        <v>5.0999999999999996</v>
      </c>
      <c r="C185" s="30">
        <v>17</v>
      </c>
      <c r="D185" s="30">
        <v>5</v>
      </c>
    </row>
    <row r="186" spans="1:4" x14ac:dyDescent="0.15">
      <c r="A186" t="s">
        <v>275</v>
      </c>
      <c r="B186" s="31">
        <v>5.0999999999999996</v>
      </c>
      <c r="C186" s="30">
        <v>17</v>
      </c>
      <c r="D186" s="30">
        <v>5</v>
      </c>
    </row>
    <row r="187" spans="1:4" x14ac:dyDescent="0.15">
      <c r="A187" t="s">
        <v>276</v>
      </c>
      <c r="B187" s="31">
        <v>5.0999999999999996</v>
      </c>
      <c r="C187" s="30">
        <v>17</v>
      </c>
      <c r="D187" s="30">
        <v>5</v>
      </c>
    </row>
    <row r="188" spans="1:4" x14ac:dyDescent="0.15">
      <c r="A188" t="s">
        <v>277</v>
      </c>
      <c r="B188" s="31">
        <v>5.0999999999999996</v>
      </c>
      <c r="C188" s="30">
        <v>17</v>
      </c>
      <c r="D188" s="30">
        <v>5</v>
      </c>
    </row>
    <row r="189" spans="1:4" x14ac:dyDescent="0.15">
      <c r="A189" t="s">
        <v>278</v>
      </c>
      <c r="B189" s="31">
        <v>5.0999999999999996</v>
      </c>
      <c r="C189" s="30">
        <v>17</v>
      </c>
      <c r="D189" s="30">
        <v>5</v>
      </c>
    </row>
    <row r="190" spans="1:4" x14ac:dyDescent="0.15">
      <c r="A190" t="s">
        <v>279</v>
      </c>
      <c r="B190" s="31">
        <v>5.0999999999999996</v>
      </c>
      <c r="C190" s="30">
        <v>17</v>
      </c>
      <c r="D190" s="30">
        <v>5</v>
      </c>
    </row>
    <row r="191" spans="1:4" x14ac:dyDescent="0.15">
      <c r="A191" t="s">
        <v>280</v>
      </c>
      <c r="B191" s="31">
        <v>5.0999999999999996</v>
      </c>
      <c r="C191" s="30">
        <v>17</v>
      </c>
      <c r="D191" s="30">
        <v>5</v>
      </c>
    </row>
    <row r="192" spans="1:4" x14ac:dyDescent="0.15">
      <c r="A192" t="s">
        <v>281</v>
      </c>
      <c r="B192" s="31">
        <v>5.0999999999999996</v>
      </c>
      <c r="C192" s="30">
        <v>17</v>
      </c>
      <c r="D192" s="30">
        <v>5</v>
      </c>
    </row>
    <row r="193" spans="1:4" x14ac:dyDescent="0.15">
      <c r="A193" t="s">
        <v>282</v>
      </c>
      <c r="B193" s="31">
        <v>5.0999999999999996</v>
      </c>
      <c r="C193" s="30">
        <v>17</v>
      </c>
      <c r="D193" s="30">
        <v>5</v>
      </c>
    </row>
    <row r="194" spans="1:4" x14ac:dyDescent="0.15">
      <c r="A194" t="s">
        <v>283</v>
      </c>
      <c r="B194" s="31">
        <v>5.0999999999999996</v>
      </c>
      <c r="C194" s="30">
        <v>17</v>
      </c>
      <c r="D194" s="30">
        <v>5</v>
      </c>
    </row>
    <row r="195" spans="1:4" x14ac:dyDescent="0.15">
      <c r="A195" t="s">
        <v>284</v>
      </c>
      <c r="B195" s="31">
        <v>5.0999999999999996</v>
      </c>
      <c r="C195" s="30">
        <v>17</v>
      </c>
      <c r="D195" s="30">
        <v>5</v>
      </c>
    </row>
    <row r="196" spans="1:4" x14ac:dyDescent="0.15">
      <c r="A196" t="s">
        <v>285</v>
      </c>
      <c r="B196" s="31">
        <v>5.0999999999999996</v>
      </c>
      <c r="C196" s="30">
        <v>17</v>
      </c>
      <c r="D196" s="30">
        <v>5</v>
      </c>
    </row>
    <row r="197" spans="1:4" x14ac:dyDescent="0.15">
      <c r="A197" t="s">
        <v>286</v>
      </c>
      <c r="B197" s="31">
        <v>5.0999999999999996</v>
      </c>
      <c r="C197" s="30">
        <v>17</v>
      </c>
      <c r="D197" s="30">
        <v>5</v>
      </c>
    </row>
    <row r="198" spans="1:4" x14ac:dyDescent="0.15">
      <c r="A198" t="s">
        <v>287</v>
      </c>
      <c r="B198" s="31">
        <v>5.0999999999999996</v>
      </c>
      <c r="C198" s="30">
        <v>17</v>
      </c>
      <c r="D198" s="30">
        <v>5</v>
      </c>
    </row>
    <row r="199" spans="1:4" x14ac:dyDescent="0.15">
      <c r="A199" t="s">
        <v>288</v>
      </c>
      <c r="B199" s="31">
        <v>5.0999999999999996</v>
      </c>
      <c r="C199" s="30">
        <v>17</v>
      </c>
      <c r="D199" s="30">
        <v>5</v>
      </c>
    </row>
    <row r="200" spans="1:4" x14ac:dyDescent="0.15">
      <c r="A200" t="s">
        <v>289</v>
      </c>
      <c r="B200" s="31">
        <v>5.0999999999999996</v>
      </c>
      <c r="C200" s="30">
        <v>17</v>
      </c>
      <c r="D200" s="30">
        <v>5</v>
      </c>
    </row>
    <row r="201" spans="1:4" x14ac:dyDescent="0.15">
      <c r="A201" t="s">
        <v>290</v>
      </c>
      <c r="B201" s="31">
        <v>5.0999999999999996</v>
      </c>
      <c r="C201" s="30">
        <v>17</v>
      </c>
      <c r="D201" s="30">
        <v>5</v>
      </c>
    </row>
    <row r="202" spans="1:4" x14ac:dyDescent="0.15">
      <c r="A202" t="s">
        <v>291</v>
      </c>
      <c r="B202" s="31">
        <v>5.0999999999999996</v>
      </c>
      <c r="C202" s="30">
        <v>17</v>
      </c>
      <c r="D202" s="30">
        <v>5</v>
      </c>
    </row>
    <row r="203" spans="1:4" x14ac:dyDescent="0.15">
      <c r="A203" t="s">
        <v>292</v>
      </c>
      <c r="B203" s="31">
        <v>5.0999999999999996</v>
      </c>
      <c r="C203" s="30">
        <v>17</v>
      </c>
      <c r="D203" s="30">
        <v>5</v>
      </c>
    </row>
    <row r="204" spans="1:4" x14ac:dyDescent="0.15">
      <c r="A204" t="s">
        <v>293</v>
      </c>
      <c r="B204" s="31">
        <v>5.0999999999999996</v>
      </c>
      <c r="C204" s="30">
        <v>17</v>
      </c>
      <c r="D204" s="30">
        <v>5</v>
      </c>
    </row>
    <row r="205" spans="1:4" x14ac:dyDescent="0.15">
      <c r="A205" t="s">
        <v>294</v>
      </c>
      <c r="B205" s="31">
        <v>5.0999999999999996</v>
      </c>
      <c r="C205" s="30">
        <v>17</v>
      </c>
      <c r="D205" s="30">
        <v>5</v>
      </c>
    </row>
    <row r="206" spans="1:4" x14ac:dyDescent="0.15">
      <c r="A206" t="s">
        <v>295</v>
      </c>
      <c r="B206" s="31">
        <v>5.0999999999999996</v>
      </c>
      <c r="C206" s="30">
        <v>17</v>
      </c>
      <c r="D206" s="30">
        <v>5</v>
      </c>
    </row>
    <row r="207" spans="1:4" x14ac:dyDescent="0.15">
      <c r="A207" t="s">
        <v>296</v>
      </c>
      <c r="B207" s="31">
        <v>5.0999999999999996</v>
      </c>
      <c r="C207" s="30">
        <v>17</v>
      </c>
      <c r="D207" s="30">
        <v>5</v>
      </c>
    </row>
    <row r="208" spans="1:4" x14ac:dyDescent="0.15">
      <c r="A208" t="s">
        <v>297</v>
      </c>
      <c r="B208" s="31">
        <v>5.0999999999999996</v>
      </c>
      <c r="C208" s="30">
        <v>17</v>
      </c>
      <c r="D208" s="30">
        <v>5</v>
      </c>
    </row>
    <row r="209" spans="1:4" x14ac:dyDescent="0.15">
      <c r="A209" t="s">
        <v>298</v>
      </c>
      <c r="B209" s="31">
        <v>5.0999999999999996</v>
      </c>
      <c r="C209" s="30">
        <v>17</v>
      </c>
      <c r="D209" s="30">
        <v>5</v>
      </c>
    </row>
    <row r="210" spans="1:4" x14ac:dyDescent="0.15">
      <c r="A210" t="s">
        <v>299</v>
      </c>
      <c r="B210" s="31">
        <v>5.0999999999999996</v>
      </c>
      <c r="C210" s="30">
        <v>17</v>
      </c>
      <c r="D210" s="30">
        <v>5</v>
      </c>
    </row>
    <row r="211" spans="1:4" x14ac:dyDescent="0.15">
      <c r="A211" t="s">
        <v>300</v>
      </c>
      <c r="B211" s="31">
        <v>5.0999999999999996</v>
      </c>
      <c r="C211" s="30">
        <v>17</v>
      </c>
      <c r="D211" s="30">
        <v>5</v>
      </c>
    </row>
    <row r="212" spans="1:4" x14ac:dyDescent="0.15">
      <c r="A212" t="s">
        <v>301</v>
      </c>
      <c r="B212" s="31">
        <v>5.0999999999999996</v>
      </c>
      <c r="C212" s="30">
        <v>17</v>
      </c>
      <c r="D212" s="30">
        <v>5</v>
      </c>
    </row>
    <row r="213" spans="1:4" x14ac:dyDescent="0.15">
      <c r="A213" t="s">
        <v>302</v>
      </c>
      <c r="B213" s="31">
        <v>5.0999999999999996</v>
      </c>
      <c r="C213" s="30">
        <v>17</v>
      </c>
      <c r="D213" s="30">
        <v>5</v>
      </c>
    </row>
    <row r="214" spans="1:4" x14ac:dyDescent="0.15">
      <c r="A214" t="s">
        <v>303</v>
      </c>
      <c r="B214" s="31">
        <v>5.0999999999999996</v>
      </c>
      <c r="C214" s="30">
        <v>17</v>
      </c>
      <c r="D214" s="30">
        <v>5</v>
      </c>
    </row>
    <row r="215" spans="1:4" x14ac:dyDescent="0.15">
      <c r="A215" t="s">
        <v>304</v>
      </c>
      <c r="B215" s="31">
        <v>5.0999999999999996</v>
      </c>
      <c r="C215" s="30">
        <v>17</v>
      </c>
      <c r="D215" s="30">
        <v>5</v>
      </c>
    </row>
    <row r="216" spans="1:4" x14ac:dyDescent="0.15">
      <c r="A216" t="s">
        <v>305</v>
      </c>
      <c r="B216" s="31">
        <v>5.0999999999999996</v>
      </c>
      <c r="C216" s="30">
        <v>17</v>
      </c>
      <c r="D216" s="30">
        <v>5</v>
      </c>
    </row>
    <row r="217" spans="1:4" x14ac:dyDescent="0.15">
      <c r="A217" t="s">
        <v>306</v>
      </c>
      <c r="B217" s="31">
        <v>5.0999999999999996</v>
      </c>
      <c r="C217" s="30">
        <v>17</v>
      </c>
      <c r="D217" s="30">
        <v>5</v>
      </c>
    </row>
    <row r="218" spans="1:4" x14ac:dyDescent="0.15">
      <c r="A218" t="s">
        <v>307</v>
      </c>
      <c r="B218" s="31">
        <v>5.0999999999999996</v>
      </c>
      <c r="C218" s="30">
        <v>17</v>
      </c>
      <c r="D218" s="30">
        <v>5</v>
      </c>
    </row>
    <row r="219" spans="1:4" x14ac:dyDescent="0.15">
      <c r="A219" t="s">
        <v>308</v>
      </c>
      <c r="B219" s="31">
        <v>5.0999999999999996</v>
      </c>
      <c r="C219" s="30">
        <v>17</v>
      </c>
      <c r="D219" s="30">
        <v>5</v>
      </c>
    </row>
    <row r="220" spans="1:4" x14ac:dyDescent="0.15">
      <c r="A220" t="s">
        <v>309</v>
      </c>
      <c r="B220" s="31">
        <v>5.0999999999999996</v>
      </c>
      <c r="C220" s="30">
        <v>17</v>
      </c>
      <c r="D220" s="30">
        <v>5</v>
      </c>
    </row>
    <row r="221" spans="1:4" x14ac:dyDescent="0.15">
      <c r="A221" t="s">
        <v>310</v>
      </c>
      <c r="B221" s="31">
        <v>5.0999999999999996</v>
      </c>
      <c r="C221" s="30">
        <v>17</v>
      </c>
      <c r="D221" s="30">
        <v>5</v>
      </c>
    </row>
    <row r="222" spans="1:4" x14ac:dyDescent="0.15">
      <c r="A222" t="s">
        <v>311</v>
      </c>
      <c r="B222" s="31">
        <v>5.0999999999999996</v>
      </c>
      <c r="C222" s="30">
        <v>17</v>
      </c>
      <c r="D222" s="30">
        <v>5</v>
      </c>
    </row>
    <row r="223" spans="1:4" x14ac:dyDescent="0.15">
      <c r="A223" t="s">
        <v>312</v>
      </c>
      <c r="B223" s="31">
        <v>5.0999999999999996</v>
      </c>
      <c r="C223" s="30">
        <v>17</v>
      </c>
      <c r="D223" s="30">
        <v>5</v>
      </c>
    </row>
    <row r="224" spans="1:4" x14ac:dyDescent="0.15">
      <c r="A224" t="s">
        <v>313</v>
      </c>
      <c r="B224" s="31">
        <v>5.0999999999999996</v>
      </c>
      <c r="C224" s="30">
        <v>17</v>
      </c>
      <c r="D224" s="30">
        <v>5</v>
      </c>
    </row>
    <row r="225" spans="1:4" x14ac:dyDescent="0.15">
      <c r="A225" t="s">
        <v>314</v>
      </c>
      <c r="B225" s="31">
        <v>5.0999999999999996</v>
      </c>
      <c r="C225" s="30">
        <v>17</v>
      </c>
      <c r="D225" s="30">
        <v>5</v>
      </c>
    </row>
    <row r="226" spans="1:4" x14ac:dyDescent="0.15">
      <c r="A226" t="s">
        <v>315</v>
      </c>
      <c r="B226" s="31">
        <v>5.0999999999999996</v>
      </c>
      <c r="C226" s="30">
        <v>17</v>
      </c>
      <c r="D226" s="30">
        <v>5</v>
      </c>
    </row>
    <row r="227" spans="1:4" x14ac:dyDescent="0.15">
      <c r="A227" t="s">
        <v>316</v>
      </c>
      <c r="B227" s="31">
        <v>5.0999999999999996</v>
      </c>
      <c r="C227" s="30">
        <v>17</v>
      </c>
      <c r="D227" s="30">
        <v>5</v>
      </c>
    </row>
    <row r="228" spans="1:4" x14ac:dyDescent="0.15">
      <c r="A228" t="s">
        <v>317</v>
      </c>
      <c r="B228" s="31">
        <v>5.0999999999999996</v>
      </c>
      <c r="C228" s="30">
        <v>17</v>
      </c>
      <c r="D228" s="30">
        <v>5</v>
      </c>
    </row>
    <row r="229" spans="1:4" x14ac:dyDescent="0.15">
      <c r="A229" t="s">
        <v>318</v>
      </c>
      <c r="B229" s="31">
        <v>5.0999999999999996</v>
      </c>
      <c r="C229" s="30">
        <v>17</v>
      </c>
      <c r="D229" s="30">
        <v>5</v>
      </c>
    </row>
    <row r="230" spans="1:4" x14ac:dyDescent="0.15">
      <c r="A230" t="s">
        <v>319</v>
      </c>
      <c r="B230" s="31">
        <v>5.0999999999999996</v>
      </c>
      <c r="C230" s="30">
        <v>17</v>
      </c>
      <c r="D230" s="30">
        <v>5</v>
      </c>
    </row>
    <row r="231" spans="1:4" x14ac:dyDescent="0.15">
      <c r="A231" t="s">
        <v>320</v>
      </c>
      <c r="B231" s="31">
        <v>5.0999999999999996</v>
      </c>
      <c r="C231" s="30">
        <v>17</v>
      </c>
      <c r="D231" s="30">
        <v>5</v>
      </c>
    </row>
  </sheetData>
  <sortState xmlns:xlrd2="http://schemas.microsoft.com/office/spreadsheetml/2017/richdata2" ref="H2:H39">
    <sortCondition ref="H2:H39"/>
  </sortState>
  <phoneticPr fontId="0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5"/>
  <sheetViews>
    <sheetView workbookViewId="0">
      <pane xSplit="1" ySplit="5" topLeftCell="C191" activePane="bottomRight" state="frozen"/>
      <selection pane="topRight" activeCell="B1" sqref="B1"/>
      <selection pane="bottomLeft" activeCell="A2" sqref="A2"/>
      <selection pane="bottomRight" activeCell="Q7" sqref="Q7:Q235"/>
    </sheetView>
  </sheetViews>
  <sheetFormatPr baseColWidth="10" defaultColWidth="4.6640625" defaultRowHeight="13" x14ac:dyDescent="0.15"/>
  <cols>
    <col min="1" max="1" width="8.83203125" bestFit="1" customWidth="1"/>
    <col min="2" max="2" width="11.83203125" style="1" bestFit="1" customWidth="1"/>
    <col min="3" max="3" width="9.33203125" style="1" customWidth="1"/>
    <col min="4" max="4" width="11.5" style="1" bestFit="1" customWidth="1"/>
    <col min="5" max="5" width="12.1640625" bestFit="1" customWidth="1"/>
    <col min="6" max="7" width="9.5" customWidth="1"/>
    <col min="8" max="8" width="28" bestFit="1" customWidth="1"/>
    <col min="9" max="9" width="19" bestFit="1" customWidth="1"/>
    <col min="10" max="10" width="9.5" customWidth="1"/>
    <col min="11" max="11" width="12.5" bestFit="1" customWidth="1"/>
    <col min="12" max="12" width="12.33203125" bestFit="1" customWidth="1"/>
    <col min="13" max="13" width="11" bestFit="1" customWidth="1"/>
    <col min="14" max="14" width="12.5" style="1" bestFit="1" customWidth="1"/>
    <col min="15" max="15" width="12" bestFit="1" customWidth="1"/>
    <col min="16" max="16" width="12" style="4" bestFit="1" customWidth="1"/>
    <col min="17" max="17" width="11" style="1" bestFit="1" customWidth="1"/>
    <col min="18" max="22" width="4.6640625" style="1" customWidth="1"/>
    <col min="23" max="24" width="4.6640625" style="7" customWidth="1"/>
    <col min="25" max="25" width="4.6640625" style="8" customWidth="1"/>
    <col min="26" max="16384" width="4.6640625" style="1"/>
  </cols>
  <sheetData>
    <row r="1" spans="1:25" ht="15" x14ac:dyDescent="0.2">
      <c r="A1" s="1"/>
      <c r="B1" s="39" t="s">
        <v>72</v>
      </c>
      <c r="D1" s="32" t="s">
        <v>64</v>
      </c>
      <c r="E1" s="27"/>
      <c r="F1" s="27"/>
      <c r="G1" s="27"/>
      <c r="H1" s="1"/>
      <c r="I1" s="1"/>
      <c r="J1" s="22" t="s">
        <v>84</v>
      </c>
      <c r="K1" s="1"/>
      <c r="L1" s="1"/>
      <c r="M1" s="1"/>
    </row>
    <row r="2" spans="1:25" x14ac:dyDescent="0.15">
      <c r="A2" s="1"/>
      <c r="D2" s="22" t="s">
        <v>73</v>
      </c>
      <c r="H2" s="1"/>
      <c r="I2" s="1"/>
      <c r="J2" s="42">
        <v>8.20578E-2</v>
      </c>
      <c r="K2" s="1"/>
      <c r="L2" s="1"/>
      <c r="M2" s="1"/>
    </row>
    <row r="3" spans="1:25" x14ac:dyDescent="0.15">
      <c r="A3" s="1"/>
      <c r="B3"/>
      <c r="C3"/>
      <c r="D3"/>
    </row>
    <row r="4" spans="1:25" x14ac:dyDescent="0.15">
      <c r="B4" s="38" t="s">
        <v>4</v>
      </c>
      <c r="C4" s="38" t="s">
        <v>5</v>
      </c>
      <c r="D4" s="37" t="s">
        <v>13</v>
      </c>
      <c r="E4" s="36" t="s">
        <v>85</v>
      </c>
      <c r="F4" s="36"/>
      <c r="G4" s="37" t="s">
        <v>88</v>
      </c>
      <c r="H4" s="36" t="s">
        <v>86</v>
      </c>
      <c r="I4" s="36" t="s">
        <v>87</v>
      </c>
      <c r="J4" s="36" t="s">
        <v>50</v>
      </c>
      <c r="K4" s="36" t="s">
        <v>50</v>
      </c>
      <c r="L4" s="36" t="s">
        <v>50</v>
      </c>
      <c r="M4" s="36" t="s">
        <v>50</v>
      </c>
      <c r="N4" s="37" t="s">
        <v>50</v>
      </c>
      <c r="O4" s="36" t="s">
        <v>88</v>
      </c>
      <c r="P4" s="36" t="s">
        <v>89</v>
      </c>
      <c r="Q4" s="36" t="s">
        <v>89</v>
      </c>
    </row>
    <row r="5" spans="1:25" x14ac:dyDescent="0.15">
      <c r="A5" s="17" t="s">
        <v>34</v>
      </c>
      <c r="B5" s="18" t="s">
        <v>70</v>
      </c>
      <c r="C5" s="18" t="s">
        <v>70</v>
      </c>
      <c r="D5" s="26" t="s">
        <v>69</v>
      </c>
      <c r="E5" s="17" t="s">
        <v>47</v>
      </c>
      <c r="F5" s="26" t="s">
        <v>14</v>
      </c>
      <c r="G5" s="18" t="s">
        <v>71</v>
      </c>
      <c r="H5" s="3" t="s">
        <v>45</v>
      </c>
      <c r="I5" s="3" t="s">
        <v>46</v>
      </c>
      <c r="J5" s="18" t="s">
        <v>52</v>
      </c>
      <c r="K5" s="18" t="s">
        <v>57</v>
      </c>
      <c r="L5" s="3" t="s">
        <v>48</v>
      </c>
      <c r="M5" s="3" t="s">
        <v>49</v>
      </c>
      <c r="N5" s="18" t="s">
        <v>77</v>
      </c>
      <c r="O5" s="17" t="s">
        <v>51</v>
      </c>
      <c r="P5" s="17" t="s">
        <v>51</v>
      </c>
      <c r="Q5" s="18" t="s">
        <v>58</v>
      </c>
    </row>
    <row r="6" spans="1:25" s="5" customFormat="1" ht="13.5" customHeight="1" x14ac:dyDescent="0.15">
      <c r="A6" s="21"/>
      <c r="B6" s="31"/>
      <c r="C6"/>
      <c r="D6"/>
      <c r="E6"/>
      <c r="F6" s="1"/>
      <c r="G6"/>
      <c r="H6" s="19"/>
      <c r="I6" s="19"/>
      <c r="J6" s="4"/>
      <c r="K6" s="24"/>
      <c r="L6" s="19"/>
      <c r="M6" s="19"/>
      <c r="N6" s="20"/>
      <c r="O6" s="20"/>
      <c r="P6" s="22"/>
      <c r="T6" s="43"/>
      <c r="U6" s="45"/>
      <c r="V6" s="46"/>
      <c r="W6" s="46"/>
      <c r="X6" s="46"/>
      <c r="Y6" s="9"/>
    </row>
    <row r="7" spans="1:25" ht="14" x14ac:dyDescent="0.15">
      <c r="A7" s="43" t="s">
        <v>94</v>
      </c>
      <c r="B7" s="49">
        <v>2929.1525469790299</v>
      </c>
      <c r="C7">
        <f t="shared" ref="C7:C70" si="0">B7/1000000</f>
        <v>2.9291525469790297E-3</v>
      </c>
      <c r="D7">
        <v>308.14999999999998</v>
      </c>
      <c r="E7">
        <f t="shared" ref="E7:E70" si="1">EXP(-58.0931+(90.5069*(100/D7))+(22.294*LN(D7/100)))</f>
        <v>2.6462895903596996E-2</v>
      </c>
      <c r="F7" s="1">
        <v>2</v>
      </c>
      <c r="G7">
        <f t="shared" ref="G7:G70" si="2">10^-F7</f>
        <v>0.01</v>
      </c>
      <c r="H7" s="19">
        <f t="shared" ref="H7:H70" si="3">10^((-3404.71/D7)+14.8435-0.032786*D7)</f>
        <v>4.9161123285617822E-7</v>
      </c>
      <c r="I7" s="19">
        <f t="shared" ref="I7:I70" si="4">10^((-2902.39/D7)+6.498-0.02379*D7)</f>
        <v>5.6021457189118354E-11</v>
      </c>
      <c r="J7" s="4">
        <f>(Volumes!B3+Volumes!C3)/1000*B7*(10^-6)/($J$2*D7)</f>
        <v>2.5600722510880187E-6</v>
      </c>
      <c r="K7" s="24">
        <f>(Volumes!B3/1000)*C7*E7*((Volumes!D3+Volumes!C3)/Volumes!C3/1000)</f>
        <v>5.1159146898064964E-10</v>
      </c>
      <c r="L7" s="19">
        <f>J7*(H7/1000*Volumes!B3)/(G7/1000*Volumes!B3)</f>
        <v>1.2585602755582725E-10</v>
      </c>
      <c r="M7" s="19">
        <f>L7*(I7/1000*Volumes!B3)/(G7/1000*Volumes!B3)</f>
        <v>7.0506380597112758E-19</v>
      </c>
      <c r="N7" s="20">
        <f t="shared" ref="N7:N70" si="5">SUM(K7:M7)</f>
        <v>6.3744749724154067E-10</v>
      </c>
      <c r="O7" s="20">
        <f>(N7+J7)*(1000/Volumes!D3)</f>
        <v>5.1214193971705203E-4</v>
      </c>
      <c r="P7" s="22">
        <f t="shared" ref="P7:P70" si="6">O7*44.009*1000</f>
        <v>22.538854625007744</v>
      </c>
      <c r="Q7" s="5">
        <f t="shared" ref="Q7:Q70" si="7">P7/44.009*12.011</f>
        <v>6.1513368379415114</v>
      </c>
      <c r="T7" s="43"/>
      <c r="U7" s="44"/>
      <c r="V7" s="47"/>
      <c r="W7" s="46"/>
      <c r="X7" s="46"/>
    </row>
    <row r="8" spans="1:25" ht="14" x14ac:dyDescent="0.15">
      <c r="A8" s="43" t="s">
        <v>95</v>
      </c>
      <c r="B8" s="49">
        <v>2045.25146703108</v>
      </c>
      <c r="C8">
        <f t="shared" si="0"/>
        <v>2.0452514670310801E-3</v>
      </c>
      <c r="D8">
        <v>308.14999999999998</v>
      </c>
      <c r="E8">
        <f t="shared" si="1"/>
        <v>2.6462895903596996E-2</v>
      </c>
      <c r="F8" s="1">
        <v>2</v>
      </c>
      <c r="G8">
        <f t="shared" si="2"/>
        <v>0.01</v>
      </c>
      <c r="H8" s="19">
        <f t="shared" si="3"/>
        <v>4.9161123285617822E-7</v>
      </c>
      <c r="I8" s="19">
        <f t="shared" si="4"/>
        <v>5.6021457189118354E-11</v>
      </c>
      <c r="J8" s="4">
        <f>(Volumes!B4+Volumes!C4)/1000*B8*(10^-6)/($J$2*D8)</f>
        <v>1.7875448421569745E-6</v>
      </c>
      <c r="K8" s="24">
        <f>(Volumes!B4/1000)*C8*E8*((Volumes!D4+Volumes!C4)/Volumes!C4/1000)</f>
        <v>3.5721362601356862E-10</v>
      </c>
      <c r="L8" s="19">
        <f>J8*(H8/1000*Volumes!B4)/(G8/1000*Volumes!B4)</f>
        <v>8.7877712363849282E-11</v>
      </c>
      <c r="M8" s="19">
        <f>L8*(I8/1000*Volumes!B4)/(G8/1000*Volumes!B4)</f>
        <v>4.9230375010690391E-19</v>
      </c>
      <c r="N8" s="20">
        <f>SUM(K8:M8)</f>
        <v>4.4509133886972163E-10</v>
      </c>
      <c r="O8" s="20">
        <f>(N8+J8)*(1000/Volumes!D4)</f>
        <v>3.5759798669916885E-4</v>
      </c>
      <c r="P8" s="22">
        <f>O8*44.009*1000</f>
        <v>15.737529796643724</v>
      </c>
      <c r="Q8" s="5">
        <f>P8/44.009*12.011</f>
        <v>4.2951094182437171</v>
      </c>
      <c r="T8" s="43"/>
      <c r="U8" s="43"/>
      <c r="V8" s="46"/>
      <c r="W8" s="46"/>
      <c r="X8" s="46"/>
    </row>
    <row r="9" spans="1:25" ht="14" x14ac:dyDescent="0.15">
      <c r="A9" s="43" t="s">
        <v>96</v>
      </c>
      <c r="B9" s="49">
        <v>1604</v>
      </c>
      <c r="C9">
        <f t="shared" si="0"/>
        <v>1.604E-3</v>
      </c>
      <c r="D9">
        <v>308.14999999999998</v>
      </c>
      <c r="E9">
        <f t="shared" si="1"/>
        <v>2.6462895903596996E-2</v>
      </c>
      <c r="F9" s="1">
        <v>2</v>
      </c>
      <c r="G9">
        <f t="shared" si="2"/>
        <v>0.01</v>
      </c>
      <c r="H9" s="19">
        <f t="shared" si="3"/>
        <v>4.9161123285617822E-7</v>
      </c>
      <c r="I9" s="19">
        <f t="shared" si="4"/>
        <v>5.6021457189118354E-11</v>
      </c>
      <c r="J9" s="4">
        <f>(Volumes!B5+Volumes!C5)/1000*B9*(10^-6)/($J$2*D9)</f>
        <v>1.4018921257550263E-6</v>
      </c>
      <c r="K9" s="24">
        <f>(Volumes!B5/1000)*C9*E9*((Volumes!D5+Volumes!C5)/Volumes!C5/1000)</f>
        <v>2.801468011938392E-10</v>
      </c>
      <c r="L9" s="19">
        <f>J9*(H9/1000*Volumes!B5)/(G9/1000*Volumes!B5)</f>
        <v>6.8918591627379698E-11</v>
      </c>
      <c r="M9" s="19">
        <f>L9*(I9/1000*Volumes!B5)/(G9/1000*Volumes!B5)</f>
        <v>3.860919930387582E-19</v>
      </c>
      <c r="N9" s="20">
        <f t="shared" si="5"/>
        <v>3.4906539320731089E-10</v>
      </c>
      <c r="O9" s="20">
        <f>(N9+J9)*(1000/Volumes!D5)</f>
        <v>2.8044823822964671E-4</v>
      </c>
      <c r="P9" s="22">
        <f t="shared" si="6"/>
        <v>12.342246516248522</v>
      </c>
      <c r="Q9" s="5">
        <f t="shared" si="7"/>
        <v>3.3684637893762863</v>
      </c>
      <c r="T9" s="43"/>
      <c r="U9" s="44"/>
      <c r="V9" s="47"/>
      <c r="W9" s="46"/>
      <c r="X9" s="47"/>
    </row>
    <row r="10" spans="1:25" ht="14" x14ac:dyDescent="0.15">
      <c r="A10" s="43" t="s">
        <v>97</v>
      </c>
      <c r="B10" s="49">
        <v>1815.4893737641401</v>
      </c>
      <c r="C10">
        <f t="shared" si="0"/>
        <v>1.8154893737641401E-3</v>
      </c>
      <c r="D10">
        <v>308.14999999999998</v>
      </c>
      <c r="E10">
        <f t="shared" si="1"/>
        <v>2.6462895903596996E-2</v>
      </c>
      <c r="F10" s="1">
        <v>2</v>
      </c>
      <c r="G10">
        <f t="shared" si="2"/>
        <v>0.01</v>
      </c>
      <c r="H10" s="19">
        <f t="shared" si="3"/>
        <v>4.9161123285617822E-7</v>
      </c>
      <c r="I10" s="19">
        <f t="shared" si="4"/>
        <v>5.6021457189118354E-11</v>
      </c>
      <c r="J10" s="4">
        <f>(Volumes!B6+Volumes!C6)/1000*B10*(10^-6)/($J$2*D10)</f>
        <v>1.5867333276009176E-6</v>
      </c>
      <c r="K10" s="24">
        <f>(Volumes!B6/1000)*C10*E10*((Volumes!D6+Volumes!C6)/Volumes!C6/1000)</f>
        <v>3.1708450165924577E-10</v>
      </c>
      <c r="L10" s="19">
        <f>J10*(H10/1000*Volumes!B6)/(G10/1000*Volumes!B6)</f>
        <v>7.8005592739587329E-11</v>
      </c>
      <c r="M10" s="19">
        <f>L10*(I10/1000*Volumes!B6)/(G10/1000*Volumes!B6)</f>
        <v>4.3699869741725927E-19</v>
      </c>
      <c r="N10" s="20">
        <f t="shared" si="5"/>
        <v>3.9509009483583178E-10</v>
      </c>
      <c r="O10" s="20">
        <f>(N10+J10)*(1000/Volumes!D6)</f>
        <v>3.1742568353915071E-4</v>
      </c>
      <c r="P10" s="22">
        <f t="shared" si="6"/>
        <v>13.969586906874484</v>
      </c>
      <c r="Q10" s="5">
        <f t="shared" si="7"/>
        <v>3.8125998849887393</v>
      </c>
      <c r="T10" s="43"/>
      <c r="U10" s="44"/>
      <c r="V10" s="47"/>
      <c r="W10" s="46"/>
      <c r="X10" s="46"/>
    </row>
    <row r="11" spans="1:25" ht="14" x14ac:dyDescent="0.15">
      <c r="A11" s="43" t="s">
        <v>98</v>
      </c>
      <c r="B11" s="49">
        <v>7737</v>
      </c>
      <c r="C11">
        <f t="shared" si="0"/>
        <v>7.737E-3</v>
      </c>
      <c r="D11">
        <v>308.14999999999998</v>
      </c>
      <c r="E11">
        <f t="shared" si="1"/>
        <v>2.6462895903596996E-2</v>
      </c>
      <c r="F11" s="1">
        <v>2</v>
      </c>
      <c r="G11">
        <f t="shared" si="2"/>
        <v>0.01</v>
      </c>
      <c r="H11" s="19">
        <f t="shared" si="3"/>
        <v>4.9161123285617822E-7</v>
      </c>
      <c r="I11" s="19">
        <f t="shared" si="4"/>
        <v>5.6021457189118354E-11</v>
      </c>
      <c r="J11" s="4">
        <f>(Volumes!B7+Volumes!C7)/1000*B11*(10^-6)/($J$2*D11)</f>
        <v>6.7621193123233419E-6</v>
      </c>
      <c r="K11" s="24">
        <f>(Volumes!B7/1000)*C11*E11*((Volumes!D7+Volumes!C7)/Volumes!C7/1000)</f>
        <v>1.3513066090004579E-9</v>
      </c>
      <c r="L11" s="19">
        <f>J11*(H11/1000*Volumes!B7)/(G11/1000*Volumes!B7)</f>
        <v>3.3243338118518508E-10</v>
      </c>
      <c r="M11" s="19">
        <f>L11*(I11/1000*Volumes!B7)/(G11/1000*Volumes!B7)</f>
        <v>1.8623402432299708E-18</v>
      </c>
      <c r="N11" s="20">
        <f t="shared" si="5"/>
        <v>1.6837399920479832E-9</v>
      </c>
      <c r="O11" s="20">
        <f>(N11+J11)*(1000/Volumes!D7)</f>
        <v>1.352760610463078E-3</v>
      </c>
      <c r="P11" s="22">
        <f t="shared" si="6"/>
        <v>59.533641705869606</v>
      </c>
      <c r="Q11" s="5">
        <f t="shared" si="7"/>
        <v>16.248007692272029</v>
      </c>
      <c r="T11" s="43"/>
      <c r="U11" s="45"/>
      <c r="V11" s="46"/>
      <c r="W11" s="46"/>
      <c r="X11" s="46"/>
    </row>
    <row r="12" spans="1:25" ht="14" x14ac:dyDescent="0.15">
      <c r="A12" s="43" t="s">
        <v>99</v>
      </c>
      <c r="B12" s="49">
        <v>1345.21386640893</v>
      </c>
      <c r="C12">
        <f t="shared" si="0"/>
        <v>1.3452138664089301E-3</v>
      </c>
      <c r="D12">
        <v>308.14999999999998</v>
      </c>
      <c r="E12">
        <f t="shared" si="1"/>
        <v>2.6462895903596996E-2</v>
      </c>
      <c r="F12" s="1">
        <v>2</v>
      </c>
      <c r="G12">
        <f t="shared" si="2"/>
        <v>0.01</v>
      </c>
      <c r="H12" s="19">
        <f t="shared" si="3"/>
        <v>4.9161123285617822E-7</v>
      </c>
      <c r="I12" s="19">
        <f t="shared" si="4"/>
        <v>5.6021457189118354E-11</v>
      </c>
      <c r="J12" s="4">
        <f>(Volumes!B8+Volumes!C8)/1000*B12*(10^-6)/($J$2*D12)</f>
        <v>1.1757136700593222E-6</v>
      </c>
      <c r="K12" s="24">
        <f>(Volumes!B8/1000)*C12*E12*((Volumes!D8+Volumes!C8)/Volumes!C8/1000)</f>
        <v>2.3494847979804137E-10</v>
      </c>
      <c r="L12" s="19">
        <f>J12*(H12/1000*Volumes!B8)/(G12/1000*Volumes!B8)</f>
        <v>5.7799404682372541E-11</v>
      </c>
      <c r="M12" s="19">
        <f>L12*(I12/1000*Volumes!B8)/(G12/1000*Volumes!B8)</f>
        <v>3.2380068749700601E-19</v>
      </c>
      <c r="N12" s="20">
        <f t="shared" si="5"/>
        <v>2.9274788480421461E-10</v>
      </c>
      <c r="O12" s="20">
        <f>(N12+J12)*(1000/Volumes!D8)</f>
        <v>2.3520128358882526E-4</v>
      </c>
      <c r="P12" s="22">
        <f t="shared" si="6"/>
        <v>10.350973289460612</v>
      </c>
      <c r="Q12" s="5">
        <f t="shared" si="7"/>
        <v>2.8250026171853801</v>
      </c>
      <c r="T12" s="43"/>
      <c r="U12" s="43"/>
      <c r="V12" s="46"/>
      <c r="W12" s="46"/>
      <c r="X12" s="46"/>
    </row>
    <row r="13" spans="1:25" ht="14" x14ac:dyDescent="0.15">
      <c r="A13" s="43" t="s">
        <v>100</v>
      </c>
      <c r="B13" s="49">
        <v>9288.7034979502496</v>
      </c>
      <c r="C13">
        <f t="shared" si="0"/>
        <v>9.2887034979502493E-3</v>
      </c>
      <c r="D13">
        <v>308.14999999999998</v>
      </c>
      <c r="E13">
        <f t="shared" si="1"/>
        <v>2.6462895903596996E-2</v>
      </c>
      <c r="F13" s="1">
        <v>2</v>
      </c>
      <c r="G13">
        <f t="shared" si="2"/>
        <v>0.01</v>
      </c>
      <c r="H13" s="19">
        <f t="shared" si="3"/>
        <v>4.9161123285617822E-7</v>
      </c>
      <c r="I13" s="19">
        <f t="shared" si="4"/>
        <v>5.6021457189118354E-11</v>
      </c>
      <c r="J13" s="4">
        <f>(Volumes!B9+Volumes!C9)/1000*B13*(10^-6)/($J$2*D13)</f>
        <v>8.1183044216020106E-6</v>
      </c>
      <c r="K13" s="24">
        <f>(Volumes!B9/1000)*C13*E13*((Volumes!D9+Volumes!C9)/Volumes!C9/1000)</f>
        <v>1.6223195587211893E-9</v>
      </c>
      <c r="L13" s="19">
        <f>J13*(H13/1000*Volumes!B9)/(G13/1000*Volumes!B9)</f>
        <v>3.991049645405528E-10</v>
      </c>
      <c r="M13" s="19">
        <f>L13*(I13/1000*Volumes!B9)/(G13/1000*Volumes!B9)</f>
        <v>2.235844168497318E-18</v>
      </c>
      <c r="N13" s="20">
        <f t="shared" si="5"/>
        <v>2.021424525497586E-9</v>
      </c>
      <c r="O13" s="20">
        <f>(N13+J13)*(1000/Volumes!D9)</f>
        <v>1.6240651692255017E-3</v>
      </c>
      <c r="P13" s="22">
        <f t="shared" si="6"/>
        <v>71.4734840324451</v>
      </c>
      <c r="Q13" s="5">
        <f t="shared" si="7"/>
        <v>19.506646747567498</v>
      </c>
      <c r="T13" s="43"/>
      <c r="U13" s="43"/>
      <c r="V13" s="47"/>
      <c r="W13" s="46"/>
      <c r="X13" s="46"/>
    </row>
    <row r="14" spans="1:25" ht="14" x14ac:dyDescent="0.15">
      <c r="A14" s="43" t="s">
        <v>101</v>
      </c>
      <c r="B14" s="49">
        <v>1303.8960617048499</v>
      </c>
      <c r="C14">
        <f t="shared" si="0"/>
        <v>1.3038960617048499E-3</v>
      </c>
      <c r="D14">
        <v>308.14999999999998</v>
      </c>
      <c r="E14">
        <f t="shared" si="1"/>
        <v>2.6462895903596996E-2</v>
      </c>
      <c r="F14" s="1">
        <v>2</v>
      </c>
      <c r="G14">
        <f t="shared" si="2"/>
        <v>0.01</v>
      </c>
      <c r="H14" s="19">
        <f t="shared" si="3"/>
        <v>4.9161123285617822E-7</v>
      </c>
      <c r="I14" s="19">
        <f t="shared" si="4"/>
        <v>5.6021457189118354E-11</v>
      </c>
      <c r="J14" s="4">
        <f>(Volumes!B10+Volumes!C10)/1000*B14*(10^-6)/($J$2*D14)</f>
        <v>1.139602008545523E-6</v>
      </c>
      <c r="K14" s="24">
        <f>(Volumes!B10/1000)*C14*E14*((Volumes!D10+Volumes!C10)/Volumes!C10/1000)</f>
        <v>2.277321139500365E-10</v>
      </c>
      <c r="L14" s="19">
        <f>J14*(H14/1000*Volumes!B10)/(G14/1000*Volumes!B10)</f>
        <v>5.602411483864416E-11</v>
      </c>
      <c r="M14" s="19">
        <f>L14*(I14/1000*Volumes!B10)/(G14/1000*Volumes!B10)</f>
        <v>3.1385525509913541E-19</v>
      </c>
      <c r="N14" s="20">
        <f t="shared" si="5"/>
        <v>2.8375622910253594E-10</v>
      </c>
      <c r="O14" s="20">
        <f>(N14+J14)*(1000/Volumes!D10)</f>
        <v>2.279771529549251E-4</v>
      </c>
      <c r="P14" s="22">
        <f t="shared" si="6"/>
        <v>10.033046524393297</v>
      </c>
      <c r="Q14" s="5">
        <f t="shared" si="7"/>
        <v>2.738233584141605</v>
      </c>
      <c r="T14" s="43"/>
      <c r="U14" s="44"/>
      <c r="V14" s="47"/>
      <c r="W14" s="46"/>
      <c r="X14" s="46"/>
    </row>
    <row r="15" spans="1:25" ht="14" x14ac:dyDescent="0.15">
      <c r="A15" s="43" t="s">
        <v>102</v>
      </c>
      <c r="B15" s="49">
        <v>2022.0716094397601</v>
      </c>
      <c r="C15">
        <f t="shared" si="0"/>
        <v>2.0220716094397602E-3</v>
      </c>
      <c r="D15">
        <v>308.14999999999998</v>
      </c>
      <c r="E15">
        <f t="shared" si="1"/>
        <v>2.6462895903596996E-2</v>
      </c>
      <c r="F15" s="1">
        <v>2</v>
      </c>
      <c r="G15">
        <f t="shared" si="2"/>
        <v>0.01</v>
      </c>
      <c r="H15" s="19">
        <f t="shared" si="3"/>
        <v>4.9161123285617822E-7</v>
      </c>
      <c r="I15" s="19">
        <f t="shared" si="4"/>
        <v>5.6021457189118354E-11</v>
      </c>
      <c r="J15" s="4">
        <f>(Volumes!B11+Volumes!C11)/1000*B15*(10^-6)/($J$2*D15)</f>
        <v>1.7672857026099707E-6</v>
      </c>
      <c r="K15" s="24">
        <f>(Volumes!B11/1000)*C15*E15*((Volumes!D11+Volumes!C11)/Volumes!C11/1000)</f>
        <v>3.5316514536747324E-10</v>
      </c>
      <c r="L15" s="19">
        <f>J15*(H15/1000*Volumes!B11)/(G15/1000*Volumes!B11)</f>
        <v>8.6881750306918481E-11</v>
      </c>
      <c r="M15" s="19">
        <f>L15*(I15/1000*Volumes!B11)/(G15/1000*Volumes!B11)</f>
        <v>4.8672422553347044E-19</v>
      </c>
      <c r="N15" s="20">
        <f t="shared" si="5"/>
        <v>4.4004689616111598E-10</v>
      </c>
      <c r="O15" s="20">
        <f>(N15+J15)*(1000/Volumes!D11)</f>
        <v>3.5354514990122634E-4</v>
      </c>
      <c r="P15" s="22">
        <f t="shared" si="6"/>
        <v>15.55916850200307</v>
      </c>
      <c r="Q15" s="5">
        <f t="shared" si="7"/>
        <v>4.2464307954636293</v>
      </c>
      <c r="T15" s="43"/>
      <c r="U15" s="43"/>
      <c r="V15" s="46"/>
      <c r="W15" s="46"/>
      <c r="X15" s="46"/>
    </row>
    <row r="16" spans="1:25" ht="14" x14ac:dyDescent="0.15">
      <c r="A16" s="43" t="s">
        <v>103</v>
      </c>
      <c r="B16" s="49">
        <v>1873</v>
      </c>
      <c r="C16">
        <f t="shared" si="0"/>
        <v>1.8730000000000001E-3</v>
      </c>
      <c r="D16">
        <v>308.14999999999998</v>
      </c>
      <c r="E16">
        <f t="shared" si="1"/>
        <v>2.6462895903596996E-2</v>
      </c>
      <c r="F16" s="1">
        <v>2</v>
      </c>
      <c r="G16">
        <f t="shared" si="2"/>
        <v>0.01</v>
      </c>
      <c r="H16" s="19">
        <f t="shared" si="3"/>
        <v>4.9161123285617822E-7</v>
      </c>
      <c r="I16" s="19">
        <f t="shared" si="4"/>
        <v>5.6021457189118354E-11</v>
      </c>
      <c r="J16" s="4">
        <f>(Volumes!B12+Volumes!C12)/1000*B16*(10^-6)/($J$2*D16)</f>
        <v>1.636997476021923E-6</v>
      </c>
      <c r="K16" s="24">
        <f>(Volumes!B12/1000)*C16*E16*((Volumes!D12+Volumes!C12)/Volumes!C12/1000)</f>
        <v>3.2712902658108536E-10</v>
      </c>
      <c r="L16" s="19">
        <f>J16*(H16/1000*Volumes!B12)/(G16/1000*Volumes!B12)</f>
        <v>8.0476634736958975E-11</v>
      </c>
      <c r="M16" s="19">
        <f>L16*(I16/1000*Volumes!B12)/(G16/1000*Volumes!B12)</f>
        <v>4.5084183476408618E-19</v>
      </c>
      <c r="N16" s="20">
        <f t="shared" si="5"/>
        <v>4.0760566176888614E-10</v>
      </c>
      <c r="O16" s="20">
        <f>(N16+J16)*(1000/Volumes!D12)</f>
        <v>3.2748101633673835E-4</v>
      </c>
      <c r="P16" s="22">
        <f t="shared" si="6"/>
        <v>14.412112047963518</v>
      </c>
      <c r="Q16" s="5">
        <f t="shared" si="7"/>
        <v>3.9333744872205645</v>
      </c>
      <c r="T16" s="43"/>
      <c r="U16" s="44"/>
      <c r="V16" s="47"/>
      <c r="W16" s="46"/>
      <c r="X16" s="47"/>
    </row>
    <row r="17" spans="1:24" ht="14" x14ac:dyDescent="0.15">
      <c r="A17" s="43" t="s">
        <v>104</v>
      </c>
      <c r="B17" s="49">
        <v>1689.93216095561</v>
      </c>
      <c r="C17">
        <f t="shared" si="0"/>
        <v>1.6899321609556101E-3</v>
      </c>
      <c r="D17">
        <v>308.14999999999998</v>
      </c>
      <c r="E17">
        <f t="shared" si="1"/>
        <v>2.6462895903596996E-2</v>
      </c>
      <c r="F17" s="1">
        <v>2</v>
      </c>
      <c r="G17">
        <f t="shared" si="2"/>
        <v>0.01</v>
      </c>
      <c r="H17" s="19">
        <f t="shared" si="3"/>
        <v>4.9161123285617822E-7</v>
      </c>
      <c r="I17" s="19">
        <f t="shared" si="4"/>
        <v>5.6021457189118354E-11</v>
      </c>
      <c r="J17" s="4">
        <f>(Volumes!B13+Volumes!C13)/1000*B17*(10^-6)/($J$2*D17)</f>
        <v>1.4769966268727218E-6</v>
      </c>
      <c r="K17" s="24">
        <f>(Volumes!B13/1000)*C17*E17*((Volumes!D13+Volumes!C13)/Volumes!C13/1000)</f>
        <v>2.9515529247275961E-10</v>
      </c>
      <c r="L17" s="19">
        <f>J17*(H17/1000*Volumes!B13)/(G17/1000*Volumes!B13)</f>
        <v>7.2610813266131551E-11</v>
      </c>
      <c r="M17" s="19">
        <f>L17*(I17/1000*Volumes!B13)/(G17/1000*Volumes!B13)</f>
        <v>4.0677635668556554E-19</v>
      </c>
      <c r="N17" s="20">
        <f t="shared" si="5"/>
        <v>3.6776610614566752E-10</v>
      </c>
      <c r="O17" s="20">
        <f>(N17+J17)*(1000/Volumes!D13)</f>
        <v>2.9547287859577352E-4</v>
      </c>
      <c r="P17" s="22">
        <f t="shared" si="6"/>
        <v>13.003465914121398</v>
      </c>
      <c r="Q17" s="5">
        <f t="shared" si="7"/>
        <v>3.5489247448138359</v>
      </c>
      <c r="T17" s="43"/>
      <c r="U17" s="45"/>
      <c r="V17" s="46"/>
      <c r="W17" s="46"/>
      <c r="X17" s="46"/>
    </row>
    <row r="18" spans="1:24" ht="14" x14ac:dyDescent="0.15">
      <c r="A18" s="43" t="s">
        <v>105</v>
      </c>
      <c r="B18" s="49">
        <v>1335.11079429545</v>
      </c>
      <c r="C18">
        <f t="shared" si="0"/>
        <v>1.33511079429545E-3</v>
      </c>
      <c r="D18">
        <v>308.14999999999998</v>
      </c>
      <c r="E18">
        <f t="shared" si="1"/>
        <v>2.6462895903596996E-2</v>
      </c>
      <c r="F18" s="1">
        <v>2</v>
      </c>
      <c r="G18">
        <f t="shared" si="2"/>
        <v>0.01</v>
      </c>
      <c r="H18" s="19">
        <f t="shared" si="3"/>
        <v>4.9161123285617822E-7</v>
      </c>
      <c r="I18" s="19">
        <f t="shared" si="4"/>
        <v>5.6021457189118354E-11</v>
      </c>
      <c r="J18" s="4">
        <f>(Volumes!B14+Volumes!C14)/1000*B18*(10^-6)/($J$2*D18)</f>
        <v>1.1668836094347445E-6</v>
      </c>
      <c r="K18" s="24">
        <f>(Volumes!B14/1000)*C18*E18*((Volumes!D14+Volumes!C14)/Volumes!C14/1000)</f>
        <v>2.3318392659678069E-10</v>
      </c>
      <c r="L18" s="19">
        <f>J18*(H18/1000*Volumes!B14)/(G18/1000*Volumes!B14)</f>
        <v>5.7365308983388195E-11</v>
      </c>
      <c r="M18" s="19">
        <f>L18*(I18/1000*Volumes!B14)/(G18/1000*Volumes!B14)</f>
        <v>3.213688201353428E-19</v>
      </c>
      <c r="N18" s="20">
        <f t="shared" si="5"/>
        <v>2.9054923590153769E-10</v>
      </c>
      <c r="O18" s="20">
        <f>(N18+J18)*(1000/Volumes!D14)</f>
        <v>2.3343483173412922E-4</v>
      </c>
      <c r="P18" s="22">
        <f t="shared" si="6"/>
        <v>10.273233509787293</v>
      </c>
      <c r="Q18" s="5">
        <f t="shared" si="7"/>
        <v>2.8037857639586257</v>
      </c>
      <c r="T18" s="43"/>
      <c r="U18" s="43"/>
      <c r="V18" s="46"/>
      <c r="W18" s="46"/>
      <c r="X18" s="46"/>
    </row>
    <row r="19" spans="1:24" ht="14" x14ac:dyDescent="0.15">
      <c r="A19" s="43" t="s">
        <v>106</v>
      </c>
      <c r="B19" s="49">
        <v>5154.4036672949997</v>
      </c>
      <c r="C19">
        <f t="shared" si="0"/>
        <v>5.1544036672949997E-3</v>
      </c>
      <c r="D19">
        <v>308.14999999999998</v>
      </c>
      <c r="E19">
        <f t="shared" si="1"/>
        <v>2.6462895903596996E-2</v>
      </c>
      <c r="F19" s="1">
        <v>2</v>
      </c>
      <c r="G19">
        <f t="shared" si="2"/>
        <v>0.01</v>
      </c>
      <c r="H19" s="19">
        <f t="shared" si="3"/>
        <v>4.9161123285617822E-7</v>
      </c>
      <c r="I19" s="19">
        <f t="shared" si="4"/>
        <v>5.6021457189118354E-11</v>
      </c>
      <c r="J19" s="4">
        <f>(Volumes!B15+Volumes!C15)/1000*B19*(10^-6)/($J$2*D19)</f>
        <v>4.5049363554511794E-6</v>
      </c>
      <c r="K19" s="24">
        <f>(Volumes!B15/1000)*C19*E19*((Volumes!D15+Volumes!C15)/Volumes!C15/1000)</f>
        <v>9.0024295477212479E-10</v>
      </c>
      <c r="L19" s="19">
        <f>J19*(H19/1000*Volumes!B15)/(G19/1000*Volumes!B15)</f>
        <v>2.2146773156419728E-10</v>
      </c>
      <c r="M19" s="19">
        <f>L19*(I19/1000*Volumes!B15)/(G19/1000*Volumes!B15)</f>
        <v>1.2406945042594832E-18</v>
      </c>
      <c r="N19" s="20">
        <f t="shared" si="5"/>
        <v>1.1217106875770166E-9</v>
      </c>
      <c r="O19" s="20">
        <f>(N19+J19)*(1000/Volumes!D15)</f>
        <v>9.0121161322775131E-4</v>
      </c>
      <c r="P19" s="22">
        <f t="shared" si="6"/>
        <v>39.661421886540104</v>
      </c>
      <c r="Q19" s="5">
        <f t="shared" si="7"/>
        <v>10.824452686478519</v>
      </c>
      <c r="T19" s="43"/>
      <c r="U19" s="43"/>
      <c r="V19" s="46"/>
      <c r="W19" s="46"/>
      <c r="X19" s="46"/>
    </row>
    <row r="20" spans="1:24" ht="14" x14ac:dyDescent="0.15">
      <c r="A20" s="43" t="s">
        <v>107</v>
      </c>
      <c r="B20" s="49">
        <v>1754.87414213702</v>
      </c>
      <c r="C20">
        <f t="shared" si="0"/>
        <v>1.7548741421370201E-3</v>
      </c>
      <c r="D20">
        <v>308.14999999999998</v>
      </c>
      <c r="E20">
        <f t="shared" si="1"/>
        <v>2.6462895903596996E-2</v>
      </c>
      <c r="F20" s="1">
        <v>2</v>
      </c>
      <c r="G20">
        <f t="shared" si="2"/>
        <v>0.01</v>
      </c>
      <c r="H20" s="19">
        <f t="shared" si="3"/>
        <v>4.9161123285617822E-7</v>
      </c>
      <c r="I20" s="19">
        <f t="shared" si="4"/>
        <v>5.6021457189118354E-11</v>
      </c>
      <c r="J20" s="4">
        <f>(Volumes!B16+Volumes!C16)/1000*B20*(10^-6)/($J$2*D20)</f>
        <v>1.5337557615667052E-6</v>
      </c>
      <c r="K20" s="24">
        <f>(Volumes!B16/1000)*C20*E20*((Volumes!D16+Volumes!C16)/Volumes!C16/1000)</f>
        <v>3.0649774153208789E-10</v>
      </c>
      <c r="L20" s="19">
        <f>J20*(H20/1000*Volumes!B16)/(G20/1000*Volumes!B16)</f>
        <v>7.5401156084407462E-11</v>
      </c>
      <c r="M20" s="19">
        <f>L20*(I20/1000*Volumes!B16)/(G20/1000*Volumes!B16)</f>
        <v>4.2240826375926634E-19</v>
      </c>
      <c r="N20" s="20">
        <f t="shared" si="5"/>
        <v>3.8189889803890361E-10</v>
      </c>
      <c r="O20" s="20">
        <f>(N20+J20)*(1000/Volumes!D16)</f>
        <v>3.0682753209294883E-4</v>
      </c>
      <c r="P20" s="22">
        <f t="shared" si="6"/>
        <v>13.503172859878585</v>
      </c>
      <c r="Q20" s="5">
        <f t="shared" si="7"/>
        <v>3.685305487968408</v>
      </c>
      <c r="T20" s="43"/>
      <c r="U20" s="44"/>
      <c r="V20" s="47"/>
      <c r="W20" s="46"/>
      <c r="X20" s="46"/>
    </row>
    <row r="21" spans="1:24" ht="14" x14ac:dyDescent="0.15">
      <c r="A21" s="43" t="s">
        <v>108</v>
      </c>
      <c r="B21" s="49">
        <v>1483.0852091443401</v>
      </c>
      <c r="C21">
        <f t="shared" si="0"/>
        <v>1.4830852091443402E-3</v>
      </c>
      <c r="D21">
        <v>308.14999999999998</v>
      </c>
      <c r="E21">
        <f t="shared" si="1"/>
        <v>2.6462895903596996E-2</v>
      </c>
      <c r="F21" s="1">
        <v>2</v>
      </c>
      <c r="G21">
        <f t="shared" si="2"/>
        <v>0.01</v>
      </c>
      <c r="H21" s="19">
        <f t="shared" si="3"/>
        <v>4.9161123285617822E-7</v>
      </c>
      <c r="I21" s="19">
        <f t="shared" si="4"/>
        <v>5.6021457189118354E-11</v>
      </c>
      <c r="J21" s="4">
        <f>(Volumes!B17+Volumes!C17)/1000*B21*(10^-6)/($J$2*D21)</f>
        <v>1.296212890600497E-6</v>
      </c>
      <c r="K21" s="24">
        <f>(Volumes!B17/1000)*C21*E21*((Volumes!D17+Volumes!C17)/Volumes!C17/1000)</f>
        <v>2.5902841473795694E-10</v>
      </c>
      <c r="L21" s="19">
        <f>J21*(H21/1000*Volumes!B17)/(G21/1000*Volumes!B17)</f>
        <v>6.3723281719218086E-11</v>
      </c>
      <c r="M21" s="19">
        <f>L21*(I21/1000*Volumes!B17)/(G21/1000*Volumes!B17)</f>
        <v>3.5698710987833044E-19</v>
      </c>
      <c r="N21" s="20">
        <f t="shared" si="5"/>
        <v>3.2275169681416213E-10</v>
      </c>
      <c r="O21" s="20">
        <f>(N21+J21)*(1000/Volumes!D17)</f>
        <v>2.5930712845946227E-4</v>
      </c>
      <c r="P21" s="22">
        <f t="shared" si="6"/>
        <v>11.411847416372476</v>
      </c>
      <c r="Q21" s="5">
        <f t="shared" si="7"/>
        <v>3.1145379199266015</v>
      </c>
      <c r="T21" s="43"/>
      <c r="U21" s="43"/>
      <c r="V21" s="46"/>
      <c r="W21" s="46"/>
      <c r="X21" s="46"/>
    </row>
    <row r="22" spans="1:24" ht="14" x14ac:dyDescent="0.15">
      <c r="A22" s="43" t="s">
        <v>109</v>
      </c>
      <c r="B22" s="49">
        <v>9211.3991806875092</v>
      </c>
      <c r="C22">
        <f t="shared" si="0"/>
        <v>9.2113991806875087E-3</v>
      </c>
      <c r="D22">
        <v>308.14999999999998</v>
      </c>
      <c r="E22">
        <f t="shared" si="1"/>
        <v>2.6462895903596996E-2</v>
      </c>
      <c r="F22" s="1">
        <v>2</v>
      </c>
      <c r="G22">
        <f t="shared" si="2"/>
        <v>0.01</v>
      </c>
      <c r="H22" s="19">
        <f t="shared" si="3"/>
        <v>4.9161123285617822E-7</v>
      </c>
      <c r="I22" s="19">
        <f t="shared" si="4"/>
        <v>5.6021457189118354E-11</v>
      </c>
      <c r="J22" s="4">
        <f>(Volumes!B18+Volumes!C18)/1000*B22*(10^-6)/($J$2*D22)</f>
        <v>8.0507406350324947E-6</v>
      </c>
      <c r="K22" s="24">
        <f>(Volumes!B18/1000)*C22*E22*((Volumes!D18+Volumes!C18)/Volumes!C18/1000)</f>
        <v>1.6088179644570804E-9</v>
      </c>
      <c r="L22" s="19">
        <f>J22*(H22/1000*Volumes!B18)/(G22/1000*Volumes!B18)</f>
        <v>3.9578345289936562E-10</v>
      </c>
      <c r="M22" s="19">
        <f>L22*(I22/1000*Volumes!B18)/(G22/1000*Volumes!B18)</f>
        <v>2.2172365762763252E-18</v>
      </c>
      <c r="N22" s="20">
        <f t="shared" si="5"/>
        <v>2.0046014195736827E-9</v>
      </c>
      <c r="O22" s="20">
        <f>(N22+J22)*(1000/Volumes!D18)</f>
        <v>1.6105490472904135E-3</v>
      </c>
      <c r="P22" s="22">
        <f t="shared" si="6"/>
        <v>70.878653022203807</v>
      </c>
      <c r="Q22" s="5">
        <f t="shared" si="7"/>
        <v>19.344304607005153</v>
      </c>
      <c r="T22" s="43"/>
      <c r="U22" s="43"/>
      <c r="V22" s="46"/>
      <c r="W22" s="46"/>
      <c r="X22" s="46"/>
    </row>
    <row r="23" spans="1:24" ht="14" x14ac:dyDescent="0.15">
      <c r="A23" s="43" t="s">
        <v>110</v>
      </c>
      <c r="B23" s="49">
        <v>1239.6567253097101</v>
      </c>
      <c r="C23">
        <f t="shared" si="0"/>
        <v>1.2396567253097101E-3</v>
      </c>
      <c r="D23">
        <v>308.14999999999998</v>
      </c>
      <c r="E23">
        <f t="shared" si="1"/>
        <v>2.6462895903596996E-2</v>
      </c>
      <c r="F23" s="1">
        <v>2</v>
      </c>
      <c r="G23">
        <f t="shared" si="2"/>
        <v>0.01</v>
      </c>
      <c r="H23" s="19">
        <f t="shared" si="3"/>
        <v>4.9161123285617822E-7</v>
      </c>
      <c r="I23" s="19">
        <f t="shared" si="4"/>
        <v>5.6021457189118354E-11</v>
      </c>
      <c r="J23" s="4">
        <f>(Volumes!B19+Volumes!C19)/1000*B23*(10^-6)/($J$2*D23)</f>
        <v>1.0834569836975962E-6</v>
      </c>
      <c r="K23" s="24">
        <f>(Volumes!B19/1000)*C23*E23*((Volumes!D19+Volumes!C19)/Volumes!C19/1000)</f>
        <v>2.1651238539522763E-10</v>
      </c>
      <c r="L23" s="19">
        <f>J23*(H23/1000*Volumes!B19)/(G23/1000*Volumes!B19)</f>
        <v>5.3263962350221155E-11</v>
      </c>
      <c r="M23" s="19">
        <f>L23*(I23/1000*Volumes!B19)/(G23/1000*Volumes!B19)</f>
        <v>2.9839247865257263E-19</v>
      </c>
      <c r="N23" s="20">
        <f t="shared" si="5"/>
        <v>2.6977634804384125E-10</v>
      </c>
      <c r="O23" s="20">
        <f>(N23+J23)*(1000/Volumes!D19)</f>
        <v>2.16745352009128E-4</v>
      </c>
      <c r="P23" s="22">
        <f t="shared" si="6"/>
        <v>9.5387461965697149</v>
      </c>
      <c r="Q23" s="5">
        <f t="shared" si="7"/>
        <v>2.6033284229816362</v>
      </c>
      <c r="T23" s="43"/>
      <c r="U23" s="44"/>
      <c r="V23" s="47"/>
      <c r="W23" s="46"/>
      <c r="X23" s="46"/>
    </row>
    <row r="24" spans="1:24" ht="14" x14ac:dyDescent="0.15">
      <c r="A24" s="43" t="s">
        <v>111</v>
      </c>
      <c r="B24" s="49">
        <v>1950.9836126759701</v>
      </c>
      <c r="C24">
        <f t="shared" si="0"/>
        <v>1.9509836126759702E-3</v>
      </c>
      <c r="D24">
        <v>308.14999999999998</v>
      </c>
      <c r="E24">
        <f t="shared" si="1"/>
        <v>2.6462895903596996E-2</v>
      </c>
      <c r="F24" s="1">
        <v>2</v>
      </c>
      <c r="G24">
        <f t="shared" si="2"/>
        <v>0.01</v>
      </c>
      <c r="H24" s="19">
        <f t="shared" si="3"/>
        <v>4.9161123285617822E-7</v>
      </c>
      <c r="I24" s="19">
        <f t="shared" si="4"/>
        <v>5.6021457189118354E-11</v>
      </c>
      <c r="J24" s="4">
        <f>(Volumes!B20+Volumes!C20)/1000*B24*(10^-6)/($J$2*D24)</f>
        <v>1.7051549651418558E-6</v>
      </c>
      <c r="K24" s="24">
        <f>(Volumes!B20/1000)*C24*E24*((Volumes!D20+Volumes!C20)/Volumes!C20/1000)</f>
        <v>3.4074926326232744E-10</v>
      </c>
      <c r="L24" s="19">
        <f>J24*(H24/1000*Volumes!B20)/(G24/1000*Volumes!B20)</f>
        <v>8.3827333462422153E-11</v>
      </c>
      <c r="M24" s="19">
        <f>L24*(I24/1000*Volumes!B20)/(G24/1000*Volumes!B20)</f>
        <v>4.696129372843031E-19</v>
      </c>
      <c r="N24" s="20">
        <f t="shared" si="5"/>
        <v>4.2457659719436249E-10</v>
      </c>
      <c r="O24" s="20">
        <f>(N24+J24)*(1000/Volumes!D20)</f>
        <v>3.4111590834781007E-4</v>
      </c>
      <c r="P24" s="22">
        <f t="shared" si="6"/>
        <v>15.012170010478775</v>
      </c>
      <c r="Q24" s="5">
        <f t="shared" si="7"/>
        <v>4.0971431751655469</v>
      </c>
      <c r="T24" s="43"/>
      <c r="U24" s="43"/>
      <c r="V24" s="46"/>
      <c r="W24" s="46"/>
      <c r="X24" s="46"/>
    </row>
    <row r="25" spans="1:24" ht="14" x14ac:dyDescent="0.15">
      <c r="A25" s="43" t="s">
        <v>112</v>
      </c>
      <c r="B25" s="49">
        <v>1602.2361744510599</v>
      </c>
      <c r="C25">
        <f t="shared" si="0"/>
        <v>1.6022361744510599E-3</v>
      </c>
      <c r="D25">
        <v>308.14999999999998</v>
      </c>
      <c r="E25">
        <f t="shared" si="1"/>
        <v>2.6462895903596996E-2</v>
      </c>
      <c r="F25" s="1">
        <v>2</v>
      </c>
      <c r="G25">
        <f t="shared" si="2"/>
        <v>0.01</v>
      </c>
      <c r="H25" s="19">
        <f t="shared" si="3"/>
        <v>4.9161123285617822E-7</v>
      </c>
      <c r="I25" s="19">
        <f t="shared" si="4"/>
        <v>5.6021457189118354E-11</v>
      </c>
      <c r="J25" s="4">
        <f>(Volumes!B21+Volumes!C21)/1000*B25*(10^-6)/($J$2*D25)</f>
        <v>1.4003505464855349E-6</v>
      </c>
      <c r="K25" s="24">
        <f>(Volumes!B21/1000)*C25*E25*((Volumes!D21+Volumes!C21)/Volumes!C21/1000)</f>
        <v>2.7983874004334076E-10</v>
      </c>
      <c r="L25" s="19">
        <f>J25*(H25/1000*Volumes!B21)/(G25/1000*Volumes!B21)</f>
        <v>6.8842805858857677E-11</v>
      </c>
      <c r="M25" s="19">
        <f>L25*(I25/1000*Volumes!B21)/(G25/1000*Volumes!B21)</f>
        <v>3.8566743012007816E-19</v>
      </c>
      <c r="N25" s="20">
        <f t="shared" si="5"/>
        <v>3.4868154628786586E-10</v>
      </c>
      <c r="O25" s="20">
        <f>(N25+J25)*(1000/Volumes!D21)</f>
        <v>2.8013984560636455E-4</v>
      </c>
      <c r="P25" s="22">
        <f t="shared" si="6"/>
        <v>12.328674465290497</v>
      </c>
      <c r="Q25" s="5">
        <f t="shared" si="7"/>
        <v>3.3647596855780448</v>
      </c>
      <c r="T25" s="43"/>
      <c r="U25" s="43"/>
      <c r="V25" s="46"/>
      <c r="W25" s="46"/>
      <c r="X25" s="46"/>
    </row>
    <row r="26" spans="1:24" ht="14" x14ac:dyDescent="0.15">
      <c r="A26" s="43" t="s">
        <v>113</v>
      </c>
      <c r="B26" s="49">
        <v>2447.2692894176398</v>
      </c>
      <c r="C26">
        <f t="shared" si="0"/>
        <v>2.4472692894176398E-3</v>
      </c>
      <c r="D26">
        <v>308.14999999999998</v>
      </c>
      <c r="E26">
        <f t="shared" si="1"/>
        <v>2.6462895903596996E-2</v>
      </c>
      <c r="F26" s="1">
        <v>2</v>
      </c>
      <c r="G26">
        <f t="shared" si="2"/>
        <v>0.01</v>
      </c>
      <c r="H26" s="19">
        <f t="shared" si="3"/>
        <v>4.9161123285617822E-7</v>
      </c>
      <c r="I26" s="19">
        <f t="shared" si="4"/>
        <v>5.6021457189118354E-11</v>
      </c>
      <c r="J26" s="4">
        <f>(Volumes!B22+Volumes!C22)/1000*B26*(10^-6)/($J$2*D26)</f>
        <v>2.1389074479031722E-6</v>
      </c>
      <c r="K26" s="24">
        <f>(Volumes!B22/1000)*C26*E26*((Volumes!D22+Volumes!C22)/Volumes!C22/1000)</f>
        <v>4.2742809419592997E-10</v>
      </c>
      <c r="L26" s="19">
        <f>J26*(H26/1000*Volumes!B22)/(G26/1000*Volumes!B22)</f>
        <v>1.0515109274289404E-10</v>
      </c>
      <c r="M26" s="19">
        <f>L26*(I26/1000*Volumes!B22)/(G26/1000*Volumes!B22)</f>
        <v>5.8907174404850518E-19</v>
      </c>
      <c r="N26" s="20">
        <f t="shared" si="5"/>
        <v>5.3257918752789572E-10</v>
      </c>
      <c r="O26" s="20">
        <f>(N26+J26)*(1000/Volumes!D22)</f>
        <v>4.2788800541814002E-4</v>
      </c>
      <c r="P26" s="22">
        <f t="shared" si="6"/>
        <v>18.830923230446924</v>
      </c>
      <c r="Q26" s="5">
        <f t="shared" si="7"/>
        <v>5.1393628330772794</v>
      </c>
      <c r="T26" s="43"/>
      <c r="U26" s="44"/>
      <c r="V26" s="47"/>
      <c r="W26" s="46"/>
      <c r="X26" s="47"/>
    </row>
    <row r="27" spans="1:24" ht="14" x14ac:dyDescent="0.15">
      <c r="A27" s="43" t="s">
        <v>114</v>
      </c>
      <c r="B27" s="49">
        <v>2293</v>
      </c>
      <c r="C27">
        <f t="shared" si="0"/>
        <v>2.2929999999999999E-3</v>
      </c>
      <c r="D27">
        <v>308.14999999999998</v>
      </c>
      <c r="E27">
        <f t="shared" si="1"/>
        <v>2.6462895903596996E-2</v>
      </c>
      <c r="F27" s="1">
        <v>2</v>
      </c>
      <c r="G27">
        <f t="shared" si="2"/>
        <v>0.01</v>
      </c>
      <c r="H27" s="19">
        <f t="shared" si="3"/>
        <v>4.9161123285617822E-7</v>
      </c>
      <c r="I27" s="19">
        <f t="shared" si="4"/>
        <v>5.6021457189118354E-11</v>
      </c>
      <c r="J27" s="4">
        <f>(Volumes!B23+Volumes!C23)/1000*B27*(10^-6)/($J$2*D27)</f>
        <v>2.0040764615687505E-6</v>
      </c>
      <c r="K27" s="24">
        <f>(Volumes!B23/1000)*C27*E27*((Volumes!D23+Volumes!C23)/Volumes!C23/1000)</f>
        <v>4.0048417402585626E-10</v>
      </c>
      <c r="L27" s="19">
        <f>J27*(H27/1000*Volumes!B23)/(G27/1000*Volumes!B23)</f>
        <v>9.8522650000986081E-11</v>
      </c>
      <c r="M27" s="19">
        <f>L27*(I27/1000*Volumes!B23)/(G27/1000*Volumes!B23)</f>
        <v>5.5193824191887329E-19</v>
      </c>
      <c r="N27" s="20">
        <f t="shared" si="5"/>
        <v>4.9900682457878054E-10</v>
      </c>
      <c r="O27" s="20">
        <f>(N27+J27)*(1000/Volumes!D23)</f>
        <v>4.0091509367866585E-4</v>
      </c>
      <c r="P27" s="22">
        <f t="shared" si="6"/>
        <v>17.643872357704407</v>
      </c>
      <c r="Q27" s="5">
        <f t="shared" si="7"/>
        <v>4.8153911901744548</v>
      </c>
      <c r="T27" s="43"/>
      <c r="U27" s="43"/>
      <c r="V27" s="46"/>
      <c r="W27" s="46"/>
      <c r="X27" s="46"/>
    </row>
    <row r="28" spans="1:24" ht="14" x14ac:dyDescent="0.15">
      <c r="A28" s="43" t="s">
        <v>115</v>
      </c>
      <c r="B28" s="49">
        <v>1511</v>
      </c>
      <c r="C28">
        <f t="shared" si="0"/>
        <v>1.511E-3</v>
      </c>
      <c r="D28">
        <v>308.14999999999998</v>
      </c>
      <c r="E28">
        <f t="shared" si="1"/>
        <v>2.6462895903596996E-2</v>
      </c>
      <c r="F28" s="1">
        <v>2</v>
      </c>
      <c r="G28">
        <f t="shared" si="2"/>
        <v>0.01</v>
      </c>
      <c r="H28" s="19">
        <f t="shared" si="3"/>
        <v>4.9161123285617822E-7</v>
      </c>
      <c r="I28" s="19">
        <f t="shared" si="4"/>
        <v>5.6021457189118354E-11</v>
      </c>
      <c r="J28" s="4">
        <f>(Volumes!B24+Volumes!C24)/1000*B28*(10^-6)/($J$2*D28)</f>
        <v>1.3206103503839433E-6</v>
      </c>
      <c r="K28" s="24">
        <f>(Volumes!B24/1000)*C28*E28*((Volumes!D24+Volumes!C24)/Volumes!C24/1000)</f>
        <v>2.6390387568821141E-10</v>
      </c>
      <c r="L28" s="19">
        <f>J28*(H28/1000*Volumes!B24)/(G28/1000*Volumes!B24)</f>
        <v>6.4922688247487988E-11</v>
      </c>
      <c r="M28" s="19">
        <f>L28*(I28/1000*Volumes!B24)/(G28/1000*Volumes!B24)</f>
        <v>3.637063600259125E-19</v>
      </c>
      <c r="N28" s="20">
        <f t="shared" si="5"/>
        <v>3.2882656429940572E-10</v>
      </c>
      <c r="O28" s="20">
        <f>(N28+J28)*(1000/Volumes!D24)</f>
        <v>2.6418783538964855E-4</v>
      </c>
      <c r="P28" s="22">
        <f t="shared" si="6"/>
        <v>11.626642447663043</v>
      </c>
      <c r="Q28" s="5">
        <f t="shared" si="7"/>
        <v>3.173160090865069</v>
      </c>
      <c r="T28" s="43"/>
      <c r="U28" s="43"/>
      <c r="V28" s="46"/>
      <c r="W28" s="46"/>
      <c r="X28" s="46"/>
    </row>
    <row r="29" spans="1:24" ht="14" x14ac:dyDescent="0.15">
      <c r="A29" s="43" t="s">
        <v>116</v>
      </c>
      <c r="B29" s="49">
        <v>2337</v>
      </c>
      <c r="C29">
        <f t="shared" si="0"/>
        <v>2.3370000000000001E-3</v>
      </c>
      <c r="D29">
        <v>308.14999999999998</v>
      </c>
      <c r="E29">
        <f t="shared" si="1"/>
        <v>2.6462895903596996E-2</v>
      </c>
      <c r="F29" s="1">
        <v>2</v>
      </c>
      <c r="G29">
        <f t="shared" si="2"/>
        <v>0.01</v>
      </c>
      <c r="H29" s="19">
        <f t="shared" si="3"/>
        <v>4.9161123285617822E-7</v>
      </c>
      <c r="I29" s="19">
        <f t="shared" si="4"/>
        <v>5.6021457189118354E-11</v>
      </c>
      <c r="J29" s="4">
        <f>(Volumes!B25+Volumes!C25)/1000*B29*(10^-6)/($J$2*D29)</f>
        <v>2.0425323552927033E-6</v>
      </c>
      <c r="K29" s="24">
        <f>(Volumes!B25/1000)*C29*E29*((Volumes!D25+Volumes!C25)/Volumes!C25/1000)</f>
        <v>4.0816899899626083E-10</v>
      </c>
      <c r="L29" s="19">
        <f>J29*(H29/1000*Volumes!B25)/(G29/1000*Volumes!B25)</f>
        <v>1.0041318493340794E-10</v>
      </c>
      <c r="M29" s="19">
        <f>L29*(I29/1000*Volumes!B25)/(G29/1000*Volumes!B25)</f>
        <v>5.6252929409699379E-19</v>
      </c>
      <c r="N29" s="20">
        <f t="shared" si="5"/>
        <v>5.0858218449219809E-10</v>
      </c>
      <c r="O29" s="20">
        <f>(N29+J29)*(1000/Volumes!D25)</f>
        <v>4.0860818749543907E-4</v>
      </c>
      <c r="P29" s="22">
        <f t="shared" si="6"/>
        <v>17.982437723486779</v>
      </c>
      <c r="Q29" s="5">
        <f t="shared" si="7"/>
        <v>4.9077929400077185</v>
      </c>
      <c r="T29" s="43"/>
      <c r="U29" s="43"/>
      <c r="V29" s="46"/>
      <c r="W29" s="46"/>
      <c r="X29" s="46"/>
    </row>
    <row r="30" spans="1:24" ht="14" x14ac:dyDescent="0.15">
      <c r="A30" s="43" t="s">
        <v>117</v>
      </c>
      <c r="B30" s="49">
        <v>1782</v>
      </c>
      <c r="C30">
        <f t="shared" si="0"/>
        <v>1.7819999999999999E-3</v>
      </c>
      <c r="D30">
        <v>308.14999999999998</v>
      </c>
      <c r="E30">
        <f t="shared" si="1"/>
        <v>2.6462895903596996E-2</v>
      </c>
      <c r="F30" s="1">
        <v>2</v>
      </c>
      <c r="G30">
        <f t="shared" si="2"/>
        <v>0.01</v>
      </c>
      <c r="H30" s="19">
        <f t="shared" si="3"/>
        <v>4.9161123285617822E-7</v>
      </c>
      <c r="I30" s="19">
        <f t="shared" si="4"/>
        <v>5.6021457189118354E-11</v>
      </c>
      <c r="J30" s="4">
        <f>(Volumes!B26+Volumes!C26)/1000*B30*(10^-6)/($J$2*D30)</f>
        <v>1.5574636958201105E-6</v>
      </c>
      <c r="K30" s="24">
        <f>(Volumes!B26/1000)*C30*E30*((Volumes!D26+Volumes!C26)/Volumes!C26/1000)</f>
        <v>3.1123541130138498E-10</v>
      </c>
      <c r="L30" s="19">
        <f>J30*(H30/1000*Volumes!B26)/(G30/1000*Volumes!B26)</f>
        <v>7.6566664763086433E-11</v>
      </c>
      <c r="M30" s="19">
        <f>L30*(I30/1000*Volumes!B26)/(G30/1000*Volumes!B26)</f>
        <v>4.2893761321388229E-19</v>
      </c>
      <c r="N30" s="20">
        <f t="shared" si="5"/>
        <v>3.8780207649340903E-10</v>
      </c>
      <c r="O30" s="20">
        <f>(N30+J30)*(1000/Volumes!D26)</f>
        <v>3.1157029957932077E-4</v>
      </c>
      <c r="P30" s="22">
        <f t="shared" si="6"/>
        <v>13.711897314186329</v>
      </c>
      <c r="Q30" s="5">
        <f t="shared" si="7"/>
        <v>3.7422708682472221</v>
      </c>
      <c r="T30" s="43"/>
      <c r="U30" s="43"/>
      <c r="V30" s="46"/>
      <c r="W30" s="46"/>
      <c r="X30" s="46"/>
    </row>
    <row r="31" spans="1:24" ht="14" x14ac:dyDescent="0.15">
      <c r="A31" s="43" t="s">
        <v>118</v>
      </c>
      <c r="B31" s="49">
        <v>2106</v>
      </c>
      <c r="C31">
        <f t="shared" si="0"/>
        <v>2.1059999999999998E-3</v>
      </c>
      <c r="D31">
        <v>308.14999999999998</v>
      </c>
      <c r="E31">
        <f t="shared" si="1"/>
        <v>2.6462895903596996E-2</v>
      </c>
      <c r="F31" s="1">
        <v>2</v>
      </c>
      <c r="G31">
        <f t="shared" si="2"/>
        <v>0.01</v>
      </c>
      <c r="H31" s="19">
        <f t="shared" si="3"/>
        <v>4.9161123285617822E-7</v>
      </c>
      <c r="I31" s="19">
        <f t="shared" si="4"/>
        <v>5.6021457189118354E-11</v>
      </c>
      <c r="J31" s="4">
        <f>(Volumes!B27+Volumes!C27)/1000*B31*(10^-6)/($J$2*D31)</f>
        <v>1.8406389132419484E-6</v>
      </c>
      <c r="K31" s="24">
        <f>(Volumes!B27/1000)*C31*E31*((Volumes!D27+Volumes!C27)/Volumes!C27/1000)</f>
        <v>3.6782366790163675E-10</v>
      </c>
      <c r="L31" s="19">
        <f>J31*(H31/1000*Volumes!B27)/(G31/1000*Volumes!B27)</f>
        <v>9.048787653819305E-11</v>
      </c>
      <c r="M31" s="19">
        <f>L31*(I31/1000*Volumes!B27)/(G31/1000*Volumes!B27)</f>
        <v>5.0692627016186087E-19</v>
      </c>
      <c r="N31" s="20">
        <f t="shared" si="5"/>
        <v>4.5831154494675604E-10</v>
      </c>
      <c r="O31" s="20">
        <f>(N31+J31)*(1000/Volumes!D27)</f>
        <v>3.6821944495737903E-4</v>
      </c>
      <c r="P31" s="22">
        <f t="shared" si="6"/>
        <v>16.204969553129292</v>
      </c>
      <c r="Q31" s="5">
        <f t="shared" si="7"/>
        <v>4.4226837533830787</v>
      </c>
      <c r="T31" s="43"/>
      <c r="U31" s="43"/>
      <c r="V31" s="46"/>
      <c r="W31" s="46"/>
      <c r="X31" s="46"/>
    </row>
    <row r="32" spans="1:24" ht="14" x14ac:dyDescent="0.15">
      <c r="A32" s="43" t="s">
        <v>119</v>
      </c>
      <c r="B32" s="49">
        <v>4340</v>
      </c>
      <c r="C32">
        <f t="shared" si="0"/>
        <v>4.3400000000000001E-3</v>
      </c>
      <c r="D32">
        <v>308.14999999999998</v>
      </c>
      <c r="E32">
        <f t="shared" si="1"/>
        <v>2.6462895903596996E-2</v>
      </c>
      <c r="F32" s="1">
        <v>2</v>
      </c>
      <c r="G32">
        <f t="shared" si="2"/>
        <v>0.01</v>
      </c>
      <c r="H32" s="19">
        <f t="shared" si="3"/>
        <v>4.9161123285617822E-7</v>
      </c>
      <c r="I32" s="19">
        <f t="shared" si="4"/>
        <v>5.6021457189118354E-11</v>
      </c>
      <c r="J32" s="4">
        <f>(Volumes!B28+Volumes!C28)/1000*B32*(10^-6)/($J$2*D32)</f>
        <v>3.7931495173172161E-6</v>
      </c>
      <c r="K32" s="24">
        <f>(Volumes!B28/1000)*C32*E32*((Volumes!D28+Volumes!C28)/Volumes!C28/1000)</f>
        <v>7.5800319026263234E-10</v>
      </c>
      <c r="L32" s="19">
        <f>J32*(H32/1000*Volumes!B28)/(G32/1000*Volumes!B28)</f>
        <v>1.8647549106161343E-10</v>
      </c>
      <c r="M32" s="19">
        <f>L32*(I32/1000*Volumes!B28)/(G32/1000*Volumes!B28)</f>
        <v>1.0446628739327998E-18</v>
      </c>
      <c r="N32" s="20">
        <f t="shared" si="5"/>
        <v>9.4447868236890873E-10</v>
      </c>
      <c r="O32" s="20">
        <f>(N32+J32)*(1000/Volumes!D28)</f>
        <v>7.5881879919991705E-4</v>
      </c>
      <c r="P32" s="22">
        <f t="shared" si="6"/>
        <v>33.394856533989149</v>
      </c>
      <c r="Q32" s="5">
        <f t="shared" si="7"/>
        <v>9.114172597190203</v>
      </c>
      <c r="T32" s="43"/>
      <c r="U32" s="44"/>
      <c r="V32" s="47"/>
      <c r="W32" s="46"/>
      <c r="X32" s="47"/>
    </row>
    <row r="33" spans="1:24" ht="14" x14ac:dyDescent="0.15">
      <c r="A33" s="43" t="s">
        <v>120</v>
      </c>
      <c r="B33" s="49">
        <v>1255.82805621742</v>
      </c>
      <c r="C33">
        <f t="shared" si="0"/>
        <v>1.2558280562174199E-3</v>
      </c>
      <c r="D33">
        <v>308.14999999999998</v>
      </c>
      <c r="E33">
        <f t="shared" si="1"/>
        <v>2.6462895903596996E-2</v>
      </c>
      <c r="F33" s="1">
        <v>2</v>
      </c>
      <c r="G33">
        <f t="shared" si="2"/>
        <v>0.01</v>
      </c>
      <c r="H33" s="19">
        <f t="shared" si="3"/>
        <v>4.9161123285617822E-7</v>
      </c>
      <c r="I33" s="19">
        <f t="shared" si="4"/>
        <v>5.6021457189118354E-11</v>
      </c>
      <c r="J33" s="4">
        <f>(Volumes!B29+Volumes!C29)/1000*B33*(10^-6)/($J$2*D33)</f>
        <v>1.0975906878512729E-6</v>
      </c>
      <c r="K33" s="24">
        <f>(Volumes!B29/1000)*C33*E33*((Volumes!D29+Volumes!C29)/Volumes!C29/1000)</f>
        <v>2.1933679102168775E-10</v>
      </c>
      <c r="L33" s="19">
        <f>J33*(H33/1000*Volumes!B29)/(G33/1000*Volumes!B29)</f>
        <v>5.3958791122602501E-11</v>
      </c>
      <c r="M33" s="19">
        <f>L33*(I33/1000*Volumes!B29)/(G33/1000*Volumes!B29)</f>
        <v>3.0228501068514549E-19</v>
      </c>
      <c r="N33" s="20">
        <f t="shared" si="5"/>
        <v>2.7329558244657524E-10</v>
      </c>
      <c r="O33" s="20">
        <f>(N33+J33)*(1000/Volumes!D29)</f>
        <v>2.1957279668674388E-4</v>
      </c>
      <c r="P33" s="22">
        <f t="shared" si="6"/>
        <v>9.6631792093869109</v>
      </c>
      <c r="Q33" s="5">
        <f t="shared" si="7"/>
        <v>2.6372888610044805</v>
      </c>
      <c r="T33" s="43"/>
      <c r="U33" s="44"/>
      <c r="V33" s="47"/>
      <c r="W33" s="46"/>
      <c r="X33" s="46"/>
    </row>
    <row r="34" spans="1:24" ht="14" x14ac:dyDescent="0.15">
      <c r="A34" s="43" t="s">
        <v>121</v>
      </c>
      <c r="B34" s="49">
        <v>1486.3940743793401</v>
      </c>
      <c r="C34">
        <f t="shared" si="0"/>
        <v>1.48639407437934E-3</v>
      </c>
      <c r="D34">
        <v>308.14999999999998</v>
      </c>
      <c r="E34">
        <f t="shared" si="1"/>
        <v>2.6462895903596996E-2</v>
      </c>
      <c r="F34" s="1">
        <v>2</v>
      </c>
      <c r="G34">
        <f t="shared" si="2"/>
        <v>0.01</v>
      </c>
      <c r="H34" s="19">
        <f t="shared" si="3"/>
        <v>4.9161123285617822E-7</v>
      </c>
      <c r="I34" s="19">
        <f t="shared" si="4"/>
        <v>5.6021457189118354E-11</v>
      </c>
      <c r="J34" s="4">
        <f>(Volumes!B30+Volumes!C30)/1000*B34*(10^-6)/($J$2*D34)</f>
        <v>1.2991048308237704E-6</v>
      </c>
      <c r="K34" s="24">
        <f>(Volumes!B30/1000)*C34*E34*((Volumes!D30+Volumes!C30)/Volumes!C30/1000)</f>
        <v>2.5960632496935762E-10</v>
      </c>
      <c r="L34" s="19">
        <f>J34*(H34/1000*Volumes!B30)/(G34/1000*Volumes!B30)</f>
        <v>6.3865452749069062E-11</v>
      </c>
      <c r="M34" s="19">
        <f>L34*(I34/1000*Volumes!B30)/(G34/1000*Volumes!B30)</f>
        <v>3.5778357270456337E-19</v>
      </c>
      <c r="N34" s="20">
        <f t="shared" si="5"/>
        <v>3.2347177807621027E-10</v>
      </c>
      <c r="O34" s="20">
        <f>(N34+J34)*(1000/Volumes!D30)</f>
        <v>2.5988566052036931E-4</v>
      </c>
      <c r="P34" s="22">
        <f t="shared" si="6"/>
        <v>11.437308033840933</v>
      </c>
      <c r="Q34" s="5">
        <f t="shared" si="7"/>
        <v>3.1214866685101557</v>
      </c>
      <c r="T34" s="43"/>
      <c r="U34" s="45"/>
      <c r="V34" s="46"/>
      <c r="W34" s="46"/>
      <c r="X34" s="46"/>
    </row>
    <row r="35" spans="1:24" ht="14" x14ac:dyDescent="0.15">
      <c r="A35" s="43" t="s">
        <v>122</v>
      </c>
      <c r="B35" s="49">
        <v>10223.7208438671</v>
      </c>
      <c r="C35">
        <f t="shared" si="0"/>
        <v>1.02237208438671E-2</v>
      </c>
      <c r="D35">
        <v>308.14999999999998</v>
      </c>
      <c r="E35">
        <f t="shared" si="1"/>
        <v>2.6462895903596996E-2</v>
      </c>
      <c r="F35" s="1">
        <v>2</v>
      </c>
      <c r="G35">
        <f t="shared" si="2"/>
        <v>0.01</v>
      </c>
      <c r="H35" s="19">
        <f t="shared" si="3"/>
        <v>4.9161123285617822E-7</v>
      </c>
      <c r="I35" s="19">
        <f t="shared" si="4"/>
        <v>5.6021457189118354E-11</v>
      </c>
      <c r="J35" s="4">
        <f>(Volumes!B31+Volumes!C31)/1000*B35*(10^-6)/($J$2*D35)</f>
        <v>8.9355073235254491E-6</v>
      </c>
      <c r="K35" s="24">
        <f>(Volumes!B31/1000)*C35*E35*((Volumes!D31+Volumes!C31)/Volumes!C31/1000)</f>
        <v>1.7856251188953534E-9</v>
      </c>
      <c r="L35" s="19">
        <f>J35*(H35/1000*Volumes!B31)/(G35/1000*Volumes!B31)</f>
        <v>4.3927957715137562E-10</v>
      </c>
      <c r="M35" s="19">
        <f>L35*(I35/1000*Volumes!B31)/(G35/1000*Volumes!B31)</f>
        <v>2.4609082025439799E-18</v>
      </c>
      <c r="N35" s="20">
        <f t="shared" si="5"/>
        <v>2.224904698507637E-9</v>
      </c>
      <c r="O35" s="20">
        <f>(N35+J35)*(1000/Volumes!D31)</f>
        <v>1.7875464456447911E-3</v>
      </c>
      <c r="P35" s="22">
        <f t="shared" si="6"/>
        <v>78.6681315263816</v>
      </c>
      <c r="Q35" s="5">
        <f t="shared" si="7"/>
        <v>21.470220358639583</v>
      </c>
      <c r="T35" s="43"/>
      <c r="U35" s="44"/>
      <c r="V35" s="47"/>
      <c r="W35" s="46"/>
      <c r="X35" s="46"/>
    </row>
    <row r="36" spans="1:24" ht="14" x14ac:dyDescent="0.15">
      <c r="A36" s="43" t="s">
        <v>123</v>
      </c>
      <c r="B36" s="49">
        <v>7066.2781615754902</v>
      </c>
      <c r="C36">
        <f t="shared" si="0"/>
        <v>7.0662781615754905E-3</v>
      </c>
      <c r="D36">
        <v>308.14999999999998</v>
      </c>
      <c r="E36">
        <f t="shared" si="1"/>
        <v>2.6462895903596996E-2</v>
      </c>
      <c r="F36" s="1">
        <v>2</v>
      </c>
      <c r="G36">
        <f t="shared" si="2"/>
        <v>0.01</v>
      </c>
      <c r="H36" s="19">
        <f t="shared" si="3"/>
        <v>4.9161123285617822E-7</v>
      </c>
      <c r="I36" s="19">
        <f t="shared" si="4"/>
        <v>5.6021457189118354E-11</v>
      </c>
      <c r="J36" s="4">
        <f>(Volumes!B32+Volumes!C32)/1000*B36*(10^-6)/($J$2*D36)</f>
        <v>6.175910045578169E-6</v>
      </c>
      <c r="K36" s="24">
        <f>(Volumes!B32/1000)*C36*E36*((Volumes!D32+Volumes!C32)/Volumes!C32/1000)</f>
        <v>1.2341616105431774E-9</v>
      </c>
      <c r="L36" s="19">
        <f>J36*(H36/1000*Volumes!B32)/(G36/1000*Volumes!B32)</f>
        <v>3.0361467515155395E-10</v>
      </c>
      <c r="M36" s="19">
        <f>L36*(I36/1000*Volumes!B32)/(G36/1000*Volumes!B32)</f>
        <v>1.7008936525990855E-18</v>
      </c>
      <c r="N36" s="20">
        <f t="shared" si="5"/>
        <v>1.537776287395625E-9</v>
      </c>
      <c r="O36" s="20">
        <f>(N36+J36)*(1000/Volumes!D32)</f>
        <v>1.2354895643731129E-3</v>
      </c>
      <c r="P36" s="22">
        <f t="shared" si="6"/>
        <v>54.372660238496323</v>
      </c>
      <c r="Q36" s="5">
        <f t="shared" si="7"/>
        <v>14.839465157685456</v>
      </c>
      <c r="T36" s="43"/>
      <c r="U36" s="43"/>
      <c r="V36" s="46"/>
      <c r="W36" s="46"/>
      <c r="X36" s="46"/>
    </row>
    <row r="37" spans="1:24" ht="14" x14ac:dyDescent="0.15">
      <c r="A37" s="43" t="s">
        <v>124</v>
      </c>
      <c r="B37" s="49">
        <v>1616.90805789192</v>
      </c>
      <c r="C37">
        <f t="shared" si="0"/>
        <v>1.61690805789192E-3</v>
      </c>
      <c r="D37">
        <v>308.14999999999998</v>
      </c>
      <c r="E37">
        <f t="shared" si="1"/>
        <v>2.6462895903596996E-2</v>
      </c>
      <c r="F37" s="1">
        <v>2</v>
      </c>
      <c r="G37">
        <f t="shared" si="2"/>
        <v>0.01</v>
      </c>
      <c r="H37" s="19">
        <f t="shared" si="3"/>
        <v>4.9161123285617822E-7</v>
      </c>
      <c r="I37" s="19">
        <f t="shared" si="4"/>
        <v>5.6021457189118354E-11</v>
      </c>
      <c r="J37" s="4">
        <f>(Volumes!B33+Volumes!C33)/1000*B37*(10^-6)/($J$2*D37)</f>
        <v>1.4131737371748971E-6</v>
      </c>
      <c r="K37" s="24">
        <f>(Volumes!B33/1000)*C37*E37*((Volumes!D33+Volumes!C33)/Volumes!C33/1000)</f>
        <v>2.8240125950309498E-10</v>
      </c>
      <c r="L37" s="19">
        <f>J37*(H37/1000*Volumes!B33)/(G37/1000*Volumes!B33)</f>
        <v>6.9473208317252403E-11</v>
      </c>
      <c r="M37" s="19">
        <f>L37*(I37/1000*Volumes!B33)/(G37/1000*Volumes!B33)</f>
        <v>3.8919903655356566E-19</v>
      </c>
      <c r="N37" s="20">
        <f t="shared" si="5"/>
        <v>3.5187446820954642E-10</v>
      </c>
      <c r="O37" s="20">
        <f>(N37+J37)*(1000/Volumes!D33)</f>
        <v>2.8270512232862131E-4</v>
      </c>
      <c r="P37" s="22">
        <f t="shared" si="6"/>
        <v>12.441569728560294</v>
      </c>
      <c r="Q37" s="5">
        <f t="shared" si="7"/>
        <v>3.3955712242890699</v>
      </c>
      <c r="T37" s="43"/>
      <c r="U37" s="45"/>
      <c r="V37" s="46"/>
      <c r="W37" s="46"/>
      <c r="X37" s="46"/>
    </row>
    <row r="38" spans="1:24" ht="14" x14ac:dyDescent="0.15">
      <c r="A38" s="43" t="s">
        <v>125</v>
      </c>
      <c r="B38" s="49">
        <v>1335.48362863786</v>
      </c>
      <c r="C38">
        <f t="shared" si="0"/>
        <v>1.33548362863786E-3</v>
      </c>
      <c r="D38">
        <v>308.14999999999998</v>
      </c>
      <c r="E38">
        <f t="shared" si="1"/>
        <v>2.6462895903596996E-2</v>
      </c>
      <c r="F38" s="1">
        <v>2</v>
      </c>
      <c r="G38">
        <f t="shared" si="2"/>
        <v>0.01</v>
      </c>
      <c r="H38" s="19">
        <f t="shared" si="3"/>
        <v>4.9161123285617822E-7</v>
      </c>
      <c r="I38" s="19">
        <f t="shared" si="4"/>
        <v>5.6021457189118354E-11</v>
      </c>
      <c r="J38" s="4">
        <f>(Volumes!B34+Volumes!C34)/1000*B38*(10^-6)/($J$2*D38)</f>
        <v>1.1672094657494799E-6</v>
      </c>
      <c r="K38" s="24">
        <f>(Volumes!B34/1000)*C38*E38*((Volumes!D34+Volumes!C34)/Volumes!C34/1000)</f>
        <v>2.3324904402097103E-10</v>
      </c>
      <c r="L38" s="19">
        <f>J38*(H38/1000*Volumes!B34)/(G38/1000*Volumes!B34)</f>
        <v>5.7381328445850296E-11</v>
      </c>
      <c r="M38" s="19">
        <f>L38*(I38/1000*Volumes!B34)/(G38/1000*Volumes!B34)</f>
        <v>3.2145856349839413E-19</v>
      </c>
      <c r="N38" s="20">
        <f t="shared" si="5"/>
        <v>2.906303727882799E-10</v>
      </c>
      <c r="O38" s="20">
        <f>(N38+J38)*(1000/Volumes!D34)</f>
        <v>2.3350001922445361E-4</v>
      </c>
      <c r="P38" s="22">
        <f t="shared" si="6"/>
        <v>10.276102346048978</v>
      </c>
      <c r="Q38" s="5">
        <f t="shared" si="7"/>
        <v>2.8045687309049114</v>
      </c>
      <c r="T38" s="43"/>
      <c r="U38" s="44"/>
      <c r="V38" s="47"/>
      <c r="W38" s="46"/>
      <c r="X38" s="46"/>
    </row>
    <row r="39" spans="1:24" ht="14" x14ac:dyDescent="0.15">
      <c r="A39" s="43" t="s">
        <v>126</v>
      </c>
      <c r="B39" s="49">
        <v>9167.7123913184205</v>
      </c>
      <c r="C39">
        <f t="shared" si="0"/>
        <v>9.1677123913184201E-3</v>
      </c>
      <c r="D39">
        <v>308.14999999999998</v>
      </c>
      <c r="E39">
        <f t="shared" si="1"/>
        <v>2.6462895903596996E-2</v>
      </c>
      <c r="F39" s="1">
        <v>2</v>
      </c>
      <c r="G39">
        <f t="shared" si="2"/>
        <v>0.01</v>
      </c>
      <c r="H39" s="19">
        <f t="shared" si="3"/>
        <v>4.9161123285617822E-7</v>
      </c>
      <c r="I39" s="19">
        <f t="shared" si="4"/>
        <v>5.6021457189118354E-11</v>
      </c>
      <c r="J39" s="4">
        <f>(Volumes!B35+Volumes!C35)/1000*B39*(10^-6)/($J$2*D39)</f>
        <v>8.012558486643439E-6</v>
      </c>
      <c r="K39" s="24">
        <f>(Volumes!B35/1000)*C39*E39*((Volumes!D35+Volumes!C35)/Volumes!C35/1000)</f>
        <v>1.6011878433247991E-9</v>
      </c>
      <c r="L39" s="19">
        <f>J39*(H39/1000*Volumes!B35)/(G39/1000*Volumes!B35)</f>
        <v>3.9390637559510152E-10</v>
      </c>
      <c r="M39" s="19">
        <f>L39*(I39/1000*Volumes!B35)/(G39/1000*Volumes!B35)</f>
        <v>2.2067209156921757E-18</v>
      </c>
      <c r="N39" s="20">
        <f t="shared" si="5"/>
        <v>1.9950942211266218E-9</v>
      </c>
      <c r="O39" s="20">
        <f>(N39+J39)*(1000/Volumes!D35)</f>
        <v>1.6029107161729132E-3</v>
      </c>
      <c r="P39" s="22">
        <f t="shared" si="6"/>
        <v>70.54249770805373</v>
      </c>
      <c r="Q39" s="5">
        <f t="shared" si="7"/>
        <v>19.252560611952859</v>
      </c>
      <c r="T39" s="43"/>
      <c r="U39" s="44"/>
      <c r="V39" s="47"/>
      <c r="W39" s="46"/>
      <c r="X39" s="46"/>
    </row>
    <row r="40" spans="1:24" ht="14" x14ac:dyDescent="0.15">
      <c r="A40" s="43" t="s">
        <v>127</v>
      </c>
      <c r="B40" s="49">
        <v>2232.0154856097902</v>
      </c>
      <c r="C40">
        <f t="shared" si="0"/>
        <v>2.2320154856097902E-3</v>
      </c>
      <c r="D40">
        <v>308.14999999999998</v>
      </c>
      <c r="E40">
        <f t="shared" si="1"/>
        <v>2.6462895903596996E-2</v>
      </c>
      <c r="F40" s="1">
        <v>2</v>
      </c>
      <c r="G40">
        <f t="shared" si="2"/>
        <v>0.01</v>
      </c>
      <c r="H40" s="19">
        <f t="shared" si="3"/>
        <v>4.9161123285617822E-7</v>
      </c>
      <c r="I40" s="19">
        <f t="shared" si="4"/>
        <v>5.6021457189118354E-11</v>
      </c>
      <c r="J40" s="4">
        <f>(Volumes!B36+Volumes!C36)/1000*B40*(10^-6)/($J$2*D40)</f>
        <v>1.95077614329155E-6</v>
      </c>
      <c r="K40" s="24">
        <f>(Volumes!B36/1000)*C40*E40*((Volumes!D36+Volumes!C36)/Volumes!C36/1000)</f>
        <v>3.8983291677599529E-10</v>
      </c>
      <c r="L40" s="19">
        <f>J40*(H40/1000*Volumes!B36)/(G40/1000*Volumes!B36)</f>
        <v>9.5902346482997956E-11</v>
      </c>
      <c r="M40" s="19">
        <f>L40*(I40/1000*Volumes!B36)/(G40/1000*Volumes!B36)</f>
        <v>5.3725891978332647E-19</v>
      </c>
      <c r="N40" s="20">
        <f t="shared" si="5"/>
        <v>4.8573526379625216E-10</v>
      </c>
      <c r="O40" s="20">
        <f>(N40+J40)*(1000/Volumes!D36)</f>
        <v>3.902523757110693E-4</v>
      </c>
      <c r="P40" s="22">
        <f t="shared" si="6"/>
        <v>17.174616802668449</v>
      </c>
      <c r="Q40" s="5">
        <f t="shared" si="7"/>
        <v>4.6873212846656527</v>
      </c>
      <c r="T40" s="43"/>
      <c r="U40" s="45"/>
      <c r="V40" s="46"/>
      <c r="W40" s="46"/>
      <c r="X40" s="46"/>
    </row>
    <row r="41" spans="1:24" ht="14" x14ac:dyDescent="0.15">
      <c r="A41" s="43" t="s">
        <v>128</v>
      </c>
      <c r="B41" s="49">
        <v>1388.80418637104</v>
      </c>
      <c r="C41">
        <f t="shared" si="0"/>
        <v>1.3888041863710401E-3</v>
      </c>
      <c r="D41">
        <v>308.14999999999998</v>
      </c>
      <c r="E41">
        <f t="shared" si="1"/>
        <v>2.6462895903596996E-2</v>
      </c>
      <c r="F41" s="1">
        <v>2</v>
      </c>
      <c r="G41">
        <f t="shared" si="2"/>
        <v>0.01</v>
      </c>
      <c r="H41" s="19">
        <f t="shared" si="3"/>
        <v>4.9161123285617822E-7</v>
      </c>
      <c r="I41" s="19">
        <f t="shared" si="4"/>
        <v>5.6021457189118354E-11</v>
      </c>
      <c r="J41" s="4">
        <f>(Volumes!B37+Volumes!C37)/1000*B41*(10^-6)/($J$2*D41)</f>
        <v>1.2138115044196866E-6</v>
      </c>
      <c r="K41" s="24">
        <f>(Volumes!B37/1000)*C41*E41*((Volumes!D37+Volumes!C37)/Volumes!C37/1000)</f>
        <v>2.4256175205514923E-10</v>
      </c>
      <c r="L41" s="19">
        <f>J41*(H41/1000*Volumes!B37)/(G41/1000*Volumes!B37)</f>
        <v>5.9672337014277458E-11</v>
      </c>
      <c r="M41" s="19">
        <f>L41*(I41/1000*Volumes!B37)/(G41/1000*Volumes!B37)</f>
        <v>3.3429312734199866E-19</v>
      </c>
      <c r="N41" s="20">
        <f t="shared" si="5"/>
        <v>3.0223408940371979E-10</v>
      </c>
      <c r="O41" s="20">
        <f>(N41+J41)*(1000/Volumes!D37)</f>
        <v>2.4282274770181806E-4</v>
      </c>
      <c r="P41" s="22">
        <f t="shared" si="6"/>
        <v>10.686386303609311</v>
      </c>
      <c r="Q41" s="5">
        <f t="shared" si="7"/>
        <v>2.9165440226465367</v>
      </c>
      <c r="T41" s="43"/>
      <c r="U41" s="43"/>
      <c r="V41" s="46"/>
      <c r="W41" s="46"/>
      <c r="X41" s="46"/>
    </row>
    <row r="42" spans="1:24" ht="15" x14ac:dyDescent="0.2">
      <c r="A42" s="29" t="s">
        <v>129</v>
      </c>
      <c r="B42" s="49">
        <v>1827.0744269223601</v>
      </c>
      <c r="C42">
        <f t="shared" si="0"/>
        <v>1.82707442692236E-3</v>
      </c>
      <c r="D42">
        <v>308.14999999999998</v>
      </c>
      <c r="E42">
        <f t="shared" si="1"/>
        <v>2.6462895903596996E-2</v>
      </c>
      <c r="F42" s="1">
        <v>2</v>
      </c>
      <c r="G42">
        <f t="shared" si="2"/>
        <v>0.01</v>
      </c>
      <c r="H42" s="19">
        <f t="shared" si="3"/>
        <v>4.9161123285617822E-7</v>
      </c>
      <c r="I42" s="19">
        <f t="shared" si="4"/>
        <v>5.6021457189118354E-11</v>
      </c>
      <c r="J42" s="4">
        <f>(Volumes!B38+Volumes!C38)/1000*B42*(10^-6)/($J$2*D42)</f>
        <v>1.5968586360790737E-6</v>
      </c>
      <c r="K42" s="24">
        <f>(Volumes!B38/1000)*C42*E42*((Volumes!D38+Volumes!C38)/Volumes!C38/1000)</f>
        <v>3.1910789042728563E-10</v>
      </c>
      <c r="L42" s="19">
        <f>J42*(H42/1000*Volumes!B38)/(G42/1000*Volumes!B38)</f>
        <v>7.8503364277986883E-11</v>
      </c>
      <c r="M42" s="19">
        <f>L42*(I42/1000*Volumes!B38)/(G42/1000*Volumes!B38)</f>
        <v>4.3978728611010055E-19</v>
      </c>
      <c r="N42" s="20">
        <f t="shared" si="5"/>
        <v>3.9761125514505976E-10</v>
      </c>
      <c r="O42" s="20">
        <f>(N42+J42)*(1000/Volumes!D38)</f>
        <v>3.1945124946684378E-4</v>
      </c>
      <c r="P42" s="22">
        <f t="shared" si="6"/>
        <v>14.058730037786328</v>
      </c>
      <c r="Q42" s="5">
        <f t="shared" si="7"/>
        <v>3.8369289573462604</v>
      </c>
      <c r="T42" s="43"/>
      <c r="U42" s="44"/>
      <c r="V42" s="47"/>
      <c r="W42" s="46"/>
      <c r="X42" s="47"/>
    </row>
    <row r="43" spans="1:24" ht="15" x14ac:dyDescent="0.2">
      <c r="A43" s="29" t="s">
        <v>130</v>
      </c>
      <c r="B43" s="49">
        <v>1123.5451812337401</v>
      </c>
      <c r="C43">
        <f t="shared" si="0"/>
        <v>1.1235451812337401E-3</v>
      </c>
      <c r="D43">
        <v>308.14999999999998</v>
      </c>
      <c r="E43">
        <f t="shared" si="1"/>
        <v>2.6462895903596996E-2</v>
      </c>
      <c r="F43" s="1">
        <v>2</v>
      </c>
      <c r="G43">
        <f t="shared" si="2"/>
        <v>0.01</v>
      </c>
      <c r="H43" s="19">
        <f t="shared" si="3"/>
        <v>4.9161123285617822E-7</v>
      </c>
      <c r="I43" s="19">
        <f t="shared" si="4"/>
        <v>5.6021457189118354E-11</v>
      </c>
      <c r="J43" s="4">
        <f>(Volumes!B39+Volumes!C39)/1000*B43*(10^-6)/($J$2*D43)</f>
        <v>9.8197577462692284E-7</v>
      </c>
      <c r="K43" s="24">
        <f>(Volumes!B39/1000)*C43*E43*((Volumes!D39+Volumes!C39)/Volumes!C39/1000)</f>
        <v>1.9623291054824481E-10</v>
      </c>
      <c r="L43" s="19">
        <f>J43*(H43/1000*Volumes!B39)/(G43/1000*Volumes!B39)</f>
        <v>4.827503211992422E-11</v>
      </c>
      <c r="M43" s="19">
        <f>L43*(I43/1000*Volumes!B39)/(G43/1000*Volumes!B39)</f>
        <v>2.7044376452096481E-19</v>
      </c>
      <c r="N43" s="20">
        <f t="shared" si="5"/>
        <v>2.4450794293861278E-10</v>
      </c>
      <c r="O43" s="20">
        <f>(N43+J43)*(1000/Volumes!D39)</f>
        <v>1.9644405651397231E-4</v>
      </c>
      <c r="P43" s="22">
        <f t="shared" si="6"/>
        <v>8.6453064831234077</v>
      </c>
      <c r="Q43" s="5">
        <f t="shared" si="7"/>
        <v>2.3594895627893213</v>
      </c>
      <c r="T43" s="43"/>
      <c r="U43" s="43"/>
      <c r="V43" s="46"/>
      <c r="W43" s="46"/>
      <c r="X43" s="46"/>
    </row>
    <row r="44" spans="1:24" ht="15" x14ac:dyDescent="0.2">
      <c r="A44" s="29" t="s">
        <v>131</v>
      </c>
      <c r="B44" s="49">
        <v>1284.8509031354599</v>
      </c>
      <c r="C44">
        <f t="shared" si="0"/>
        <v>1.28485090313546E-3</v>
      </c>
      <c r="D44">
        <v>308.14999999999998</v>
      </c>
      <c r="E44">
        <f t="shared" si="1"/>
        <v>2.6462895903596996E-2</v>
      </c>
      <c r="F44" s="1">
        <v>2</v>
      </c>
      <c r="G44">
        <f t="shared" si="2"/>
        <v>0.01</v>
      </c>
      <c r="H44" s="19">
        <f t="shared" si="3"/>
        <v>4.9161123285617822E-7</v>
      </c>
      <c r="I44" s="19">
        <f t="shared" si="4"/>
        <v>5.6021457189118354E-11</v>
      </c>
      <c r="J44" s="4">
        <f>(Volumes!B40+Volumes!C40)/1000*B44*(10^-6)/($J$2*D44)</f>
        <v>1.12295658595688E-6</v>
      </c>
      <c r="K44" s="24">
        <f>(Volumes!B40/1000)*C44*E44*((Volumes!D40+Volumes!C40)/Volumes!C40/1000)</f>
        <v>2.2440577962868733E-10</v>
      </c>
      <c r="L44" s="19">
        <f>J44*(H44/1000*Volumes!B40)/(G44/1000*Volumes!B40)</f>
        <v>5.5205807166622673E-11</v>
      </c>
      <c r="M44" s="19">
        <f>L44*(I44/1000*Volumes!B40)/(G44/1000*Volumes!B40)</f>
        <v>3.0927097627756751E-19</v>
      </c>
      <c r="N44" s="20">
        <f t="shared" si="5"/>
        <v>2.7961158710458101E-10</v>
      </c>
      <c r="O44" s="20">
        <f>(N44+J44)*(1000/Volumes!D40)</f>
        <v>2.2464723950879693E-4</v>
      </c>
      <c r="P44" s="22">
        <f t="shared" si="6"/>
        <v>9.8865003635426429</v>
      </c>
      <c r="Q44" s="5">
        <f t="shared" si="7"/>
        <v>2.6982379937401593</v>
      </c>
    </row>
    <row r="45" spans="1:24" ht="15" x14ac:dyDescent="0.2">
      <c r="A45" s="29" t="s">
        <v>132</v>
      </c>
      <c r="B45" s="49">
        <v>2008.1737620828101</v>
      </c>
      <c r="C45">
        <f t="shared" si="0"/>
        <v>2.0081737620828099E-3</v>
      </c>
      <c r="D45">
        <v>308.14999999999998</v>
      </c>
      <c r="E45">
        <f t="shared" si="1"/>
        <v>2.6462895903596996E-2</v>
      </c>
      <c r="F45" s="1">
        <v>2</v>
      </c>
      <c r="G45">
        <f t="shared" si="2"/>
        <v>0.01</v>
      </c>
      <c r="H45" s="19">
        <f t="shared" si="3"/>
        <v>4.9161123285617822E-7</v>
      </c>
      <c r="I45" s="19">
        <f t="shared" si="4"/>
        <v>5.6021457189118354E-11</v>
      </c>
      <c r="J45" s="4">
        <f>(Volumes!B41+Volumes!C41)/1000*B45*(10^-6)/($J$2*D45)</f>
        <v>1.7551390175883659E-6</v>
      </c>
      <c r="K45" s="24">
        <f>(Volumes!B41/1000)*C45*E45*((Volumes!D41+Volumes!C41)/Volumes!C41/1000)</f>
        <v>3.5073781526739224E-10</v>
      </c>
      <c r="L45" s="19">
        <f>J45*(H45/1000*Volumes!B41)/(G45/1000*Volumes!B41)</f>
        <v>8.6284605627059812E-11</v>
      </c>
      <c r="M45" s="19">
        <f>L45*(I45/1000*Volumes!B41)/(G45/1000*Volumes!B41)</f>
        <v>4.833789340216292E-19</v>
      </c>
      <c r="N45" s="20">
        <f t="shared" si="5"/>
        <v>4.3702242137783095E-10</v>
      </c>
      <c r="O45" s="20">
        <f>(N45+J45)*(1000/Volumes!D41)</f>
        <v>3.5111520800194877E-4</v>
      </c>
      <c r="P45" s="22">
        <f t="shared" si="6"/>
        <v>15.452229188957764</v>
      </c>
      <c r="Q45" s="5">
        <f t="shared" si="7"/>
        <v>4.217244763311407</v>
      </c>
    </row>
    <row r="46" spans="1:24" ht="15" x14ac:dyDescent="0.2">
      <c r="A46" s="29" t="s">
        <v>133</v>
      </c>
      <c r="B46" s="49">
        <v>1274</v>
      </c>
      <c r="C46">
        <f t="shared" si="0"/>
        <v>1.274E-3</v>
      </c>
      <c r="D46">
        <v>308.14999999999998</v>
      </c>
      <c r="E46">
        <f t="shared" si="1"/>
        <v>2.6462895903596996E-2</v>
      </c>
      <c r="F46" s="1">
        <v>2</v>
      </c>
      <c r="G46">
        <f t="shared" si="2"/>
        <v>0.01</v>
      </c>
      <c r="H46" s="19">
        <f t="shared" si="3"/>
        <v>4.9161123285617822E-7</v>
      </c>
      <c r="I46" s="19">
        <f t="shared" si="4"/>
        <v>5.6021457189118354E-11</v>
      </c>
      <c r="J46" s="4">
        <f>(Volumes!B42+Volumes!C42)/1000*B46*(10^-6)/($J$2*D46)</f>
        <v>1.1134729228253763E-6</v>
      </c>
      <c r="K46" s="24">
        <f>(Volumes!B42/1000)*C46*E46*((Volumes!D42+Volumes!C42)/Volumes!C42/1000)</f>
        <v>2.2251061391580495E-10</v>
      </c>
      <c r="L46" s="19">
        <f>J46*(H46/1000*Volumes!B42)/(G46/1000*Volumes!B42)</f>
        <v>5.473957963421555E-11</v>
      </c>
      <c r="M46" s="19">
        <f>L46*(I46/1000*Volumes!B42)/(G46/1000*Volumes!B42)</f>
        <v>3.0665910170285414E-19</v>
      </c>
      <c r="N46" s="20">
        <f t="shared" si="5"/>
        <v>2.7725019385667963E-10</v>
      </c>
      <c r="O46" s="20">
        <f>(N46+J46)*(1000/Volumes!D42)</f>
        <v>2.2275003460384658E-4</v>
      </c>
      <c r="P46" s="22">
        <f t="shared" si="6"/>
        <v>9.803006272880685</v>
      </c>
      <c r="Q46" s="5">
        <f t="shared" si="7"/>
        <v>2.6754506656268013</v>
      </c>
    </row>
    <row r="47" spans="1:24" ht="15" x14ac:dyDescent="0.2">
      <c r="A47" s="29" t="s">
        <v>134</v>
      </c>
      <c r="B47" s="49">
        <v>1698.4983710408601</v>
      </c>
      <c r="C47">
        <f t="shared" si="0"/>
        <v>1.69849837104086E-3</v>
      </c>
      <c r="D47">
        <v>308.14999999999998</v>
      </c>
      <c r="E47">
        <f t="shared" si="1"/>
        <v>2.6462895903596996E-2</v>
      </c>
      <c r="F47" s="1">
        <v>2</v>
      </c>
      <c r="G47">
        <f t="shared" si="2"/>
        <v>0.01</v>
      </c>
      <c r="H47" s="19">
        <f t="shared" si="3"/>
        <v>4.9161123285617822E-7</v>
      </c>
      <c r="I47" s="19">
        <f t="shared" si="4"/>
        <v>5.6021457189118354E-11</v>
      </c>
      <c r="J47" s="4">
        <f>(Volumes!B43+Volumes!C43)/1000*B47*(10^-6)/($J$2*D47)</f>
        <v>1.4844834737967088E-6</v>
      </c>
      <c r="K47" s="24">
        <f>(Volumes!B43/1000)*C47*E47*((Volumes!D43+Volumes!C43)/Volumes!C43/1000)</f>
        <v>2.9665142486287004E-10</v>
      </c>
      <c r="L47" s="19">
        <f>J47*(H47/1000*Volumes!B43)/(G47/1000*Volumes!B43)</f>
        <v>7.2978875070782226E-11</v>
      </c>
      <c r="M47" s="19">
        <f>L47*(I47/1000*Volumes!B43)/(G47/1000*Volumes!B43)</f>
        <v>4.0883829254878429E-19</v>
      </c>
      <c r="N47" s="20">
        <f t="shared" si="5"/>
        <v>3.6963030034249055E-10</v>
      </c>
      <c r="O47" s="20">
        <f>(N47+J47)*(1000/Volumes!D43)</f>
        <v>2.9697062081941023E-4</v>
      </c>
      <c r="P47" s="22">
        <f t="shared" si="6"/>
        <v>13.069380051641424</v>
      </c>
      <c r="Q47" s="5">
        <f t="shared" si="7"/>
        <v>3.5669141266619362</v>
      </c>
    </row>
    <row r="48" spans="1:24" ht="15" x14ac:dyDescent="0.2">
      <c r="A48" s="29" t="s">
        <v>135</v>
      </c>
      <c r="B48" s="49">
        <v>1755.94303124826</v>
      </c>
      <c r="C48">
        <f t="shared" si="0"/>
        <v>1.7559430312482601E-3</v>
      </c>
      <c r="D48">
        <v>308.14999999999998</v>
      </c>
      <c r="E48">
        <f t="shared" si="1"/>
        <v>2.6462895903596996E-2</v>
      </c>
      <c r="F48" s="1">
        <v>2</v>
      </c>
      <c r="G48">
        <f t="shared" si="2"/>
        <v>0.01</v>
      </c>
      <c r="H48" s="19">
        <f t="shared" si="3"/>
        <v>4.9161123285617822E-7</v>
      </c>
      <c r="I48" s="19">
        <f t="shared" si="4"/>
        <v>5.6021457189118354E-11</v>
      </c>
      <c r="J48" s="4">
        <f>(Volumes!B44+Volumes!C44)/1000*B48*(10^-6)/($J$2*D48)</f>
        <v>1.5346899680681719E-6</v>
      </c>
      <c r="K48" s="24">
        <f>(Volumes!B44/1000)*C48*E48*((Volumes!D44+Volumes!C44)/Volumes!C44/1000)</f>
        <v>3.0668442848055716E-10</v>
      </c>
      <c r="L48" s="19">
        <f>J48*(H48/1000*Volumes!B44)/(G48/1000*Volumes!B44)</f>
        <v>7.5447082725400282E-11</v>
      </c>
      <c r="M48" s="19">
        <f>L48*(I48/1000*Volumes!B44)/(G48/1000*Volumes!B44)</f>
        <v>4.226655514944883E-19</v>
      </c>
      <c r="N48" s="20">
        <f t="shared" si="5"/>
        <v>3.8213151162862299E-10</v>
      </c>
      <c r="O48" s="20">
        <f>(N48+J48)*(1000/Volumes!D44)</f>
        <v>3.0701441991596006E-4</v>
      </c>
      <c r="P48" s="22">
        <f t="shared" si="6"/>
        <v>13.511397606081486</v>
      </c>
      <c r="Q48" s="5">
        <f t="shared" si="7"/>
        <v>3.6875501976105962</v>
      </c>
    </row>
    <row r="49" spans="1:17" ht="15" x14ac:dyDescent="0.2">
      <c r="A49" s="29" t="s">
        <v>136</v>
      </c>
      <c r="B49" s="49">
        <v>1839.18524051862</v>
      </c>
      <c r="C49">
        <f t="shared" si="0"/>
        <v>1.8391852405186201E-3</v>
      </c>
      <c r="D49">
        <v>308.14999999999998</v>
      </c>
      <c r="E49">
        <f t="shared" si="1"/>
        <v>2.6462895903596996E-2</v>
      </c>
      <c r="F49" s="1">
        <v>2</v>
      </c>
      <c r="G49">
        <f t="shared" si="2"/>
        <v>0.01</v>
      </c>
      <c r="H49" s="19">
        <f t="shared" si="3"/>
        <v>4.9161123285617822E-7</v>
      </c>
      <c r="I49" s="19">
        <f t="shared" si="4"/>
        <v>5.6021457189118354E-11</v>
      </c>
      <c r="J49" s="4">
        <f>(Volumes!B45+Volumes!C45)/1000*B49*(10^-6)/($J$2*D49)</f>
        <v>1.6074434579101732E-6</v>
      </c>
      <c r="K49" s="24">
        <f>(Volumes!B45/1000)*C49*E49*((Volumes!D45+Volumes!C45)/Volumes!C45/1000)</f>
        <v>3.2122310594402327E-10</v>
      </c>
      <c r="L49" s="19">
        <f>J49*(H49/1000*Volumes!B45)/(G49/1000*Volumes!B45)</f>
        <v>7.9023726008981845E-11</v>
      </c>
      <c r="M49" s="19">
        <f>L49*(I49/1000*Volumes!B45)/(G49/1000*Volumes!B45)</f>
        <v>4.4270242835367947E-19</v>
      </c>
      <c r="N49" s="20">
        <f t="shared" si="5"/>
        <v>4.0024683239570751E-10</v>
      </c>
      <c r="O49" s="20">
        <f>(N49+J49)*(1000/Volumes!D45)</f>
        <v>3.2156874094851375E-4</v>
      </c>
      <c r="P49" s="22">
        <f t="shared" si="6"/>
        <v>14.151918720403142</v>
      </c>
      <c r="Q49" s="5">
        <f t="shared" si="7"/>
        <v>3.8623621475325982</v>
      </c>
    </row>
    <row r="50" spans="1:17" ht="15" x14ac:dyDescent="0.2">
      <c r="A50" s="29" t="s">
        <v>137</v>
      </c>
      <c r="B50" s="49">
        <v>1897.7577111150499</v>
      </c>
      <c r="C50">
        <f t="shared" si="0"/>
        <v>1.89775771111505E-3</v>
      </c>
      <c r="D50">
        <v>308.14999999999998</v>
      </c>
      <c r="E50">
        <f t="shared" si="1"/>
        <v>2.6462895903596996E-2</v>
      </c>
      <c r="F50" s="1">
        <v>2</v>
      </c>
      <c r="G50">
        <f t="shared" si="2"/>
        <v>0.01</v>
      </c>
      <c r="H50" s="19">
        <f t="shared" si="3"/>
        <v>4.9161123285617822E-7</v>
      </c>
      <c r="I50" s="19">
        <f t="shared" si="4"/>
        <v>5.6021457189118354E-11</v>
      </c>
      <c r="J50" s="4">
        <f>(Volumes!B46+Volumes!C46)/1000*B50*(10^-6)/($J$2*D50)</f>
        <v>1.6586356557375753E-6</v>
      </c>
      <c r="K50" s="24">
        <f>(Volumes!B46/1000)*C50*E50*((Volumes!D46+Volumes!C46)/Volumes!C46/1000)</f>
        <v>3.3145308741260809E-10</v>
      </c>
      <c r="L50" s="19">
        <f>J50*(H50/1000*Volumes!B46)/(G50/1000*Volumes!B46)</f>
        <v>8.1540391957636504E-11</v>
      </c>
      <c r="M50" s="19">
        <f>L50*(I50/1000*Volumes!B46)/(G50/1000*Volumes!B46)</f>
        <v>4.5680115772386634E-19</v>
      </c>
      <c r="N50" s="20">
        <f t="shared" si="5"/>
        <v>4.1299347982704572E-10</v>
      </c>
      <c r="O50" s="20">
        <f>(N50+J50)*(1000/Volumes!D46)</f>
        <v>3.3180972984348049E-4</v>
      </c>
      <c r="P50" s="22">
        <f t="shared" si="6"/>
        <v>14.602614400681732</v>
      </c>
      <c r="Q50" s="5">
        <f t="shared" si="7"/>
        <v>3.9853666651500435</v>
      </c>
    </row>
    <row r="51" spans="1:17" ht="15" x14ac:dyDescent="0.2">
      <c r="A51" s="29" t="s">
        <v>138</v>
      </c>
      <c r="B51" s="49">
        <v>2311.7183776470501</v>
      </c>
      <c r="C51">
        <f t="shared" si="0"/>
        <v>2.3117183776470503E-3</v>
      </c>
      <c r="D51">
        <v>308.14999999999998</v>
      </c>
      <c r="E51">
        <f t="shared" si="1"/>
        <v>2.6462895903596996E-2</v>
      </c>
      <c r="F51" s="1">
        <v>2</v>
      </c>
      <c r="G51">
        <f t="shared" si="2"/>
        <v>0.01</v>
      </c>
      <c r="H51" s="19">
        <f t="shared" si="3"/>
        <v>4.9161123285617822E-7</v>
      </c>
      <c r="I51" s="19">
        <f t="shared" si="4"/>
        <v>5.6021457189118354E-11</v>
      </c>
      <c r="J51" s="4">
        <f>(Volumes!B47+Volumes!C47)/1000*B51*(10^-6)/($J$2*D51)</f>
        <v>2.0204362784205636E-6</v>
      </c>
      <c r="K51" s="24">
        <f>(Volumes!B47/1000)*C51*E51*((Volumes!D47+Volumes!C47)/Volumes!C47/1000)</f>
        <v>4.0375343438829976E-10</v>
      </c>
      <c r="L51" s="19">
        <f>J51*(H51/1000*Volumes!B47)/(G51/1000*Volumes!B47)</f>
        <v>9.9326916974168188E-11</v>
      </c>
      <c r="M51" s="19">
        <f>L51*(I51/1000*Volumes!B47)/(G51/1000*Volumes!B47)</f>
        <v>5.5644386269954761E-19</v>
      </c>
      <c r="N51" s="20">
        <f t="shared" si="5"/>
        <v>5.0308035191891188E-10</v>
      </c>
      <c r="O51" s="20">
        <f>(N51+J51)*(1000/Volumes!D47)</f>
        <v>4.0418787175449647E-4</v>
      </c>
      <c r="P51" s="22">
        <f t="shared" si="6"/>
        <v>17.787904048043636</v>
      </c>
      <c r="Q51" s="5">
        <f t="shared" si="7"/>
        <v>4.8547005276432573</v>
      </c>
    </row>
    <row r="52" spans="1:17" ht="15" x14ac:dyDescent="0.2">
      <c r="A52" s="29" t="s">
        <v>139</v>
      </c>
      <c r="B52" s="49">
        <v>1978.0902573353301</v>
      </c>
      <c r="C52">
        <f t="shared" si="0"/>
        <v>1.9780902573353302E-3</v>
      </c>
      <c r="D52">
        <v>308.14999999999998</v>
      </c>
      <c r="E52">
        <f t="shared" si="1"/>
        <v>2.6462895903596996E-2</v>
      </c>
      <c r="F52" s="1">
        <v>2</v>
      </c>
      <c r="G52">
        <f t="shared" si="2"/>
        <v>0.01</v>
      </c>
      <c r="H52" s="19">
        <f t="shared" si="3"/>
        <v>4.9161123285617822E-7</v>
      </c>
      <c r="I52" s="19">
        <f t="shared" si="4"/>
        <v>5.6021457189118354E-11</v>
      </c>
      <c r="J52" s="4">
        <f>(Volumes!B48+Volumes!C48)/1000*B52*(10^-6)/($J$2*D52)</f>
        <v>1.728846107101704E-6</v>
      </c>
      <c r="K52" s="24">
        <f>(Volumes!B48/1000)*C52*E52*((Volumes!D48+Volumes!C48)/Volumes!C48/1000)</f>
        <v>3.4548357734737592E-10</v>
      </c>
      <c r="L52" s="19">
        <f>J52*(H52/1000*Volumes!B48)/(G52/1000*Volumes!B48)</f>
        <v>8.4992016613087318E-11</v>
      </c>
      <c r="M52" s="19">
        <f>L52*(I52/1000*Volumes!B48)/(G52/1000*Volumes!B48)</f>
        <v>4.7613766201069073E-19</v>
      </c>
      <c r="N52" s="20">
        <f t="shared" si="5"/>
        <v>4.3047559443660089E-10</v>
      </c>
      <c r="O52" s="20">
        <f>(N52+J52)*(1000/Volumes!D48)</f>
        <v>3.4585531653922815E-4</v>
      </c>
      <c r="P52" s="22">
        <f t="shared" si="6"/>
        <v>15.220746625574893</v>
      </c>
      <c r="Q52" s="5">
        <f t="shared" si="7"/>
        <v>4.1540682069526698</v>
      </c>
    </row>
    <row r="53" spans="1:17" ht="15" x14ac:dyDescent="0.2">
      <c r="A53" s="29" t="s">
        <v>140</v>
      </c>
      <c r="B53" s="49">
        <v>1212.85838812152</v>
      </c>
      <c r="C53">
        <f t="shared" si="0"/>
        <v>1.21285838812152E-3</v>
      </c>
      <c r="D53">
        <v>308.14999999999998</v>
      </c>
      <c r="E53">
        <f t="shared" si="1"/>
        <v>2.6462895903596996E-2</v>
      </c>
      <c r="F53" s="1">
        <v>2</v>
      </c>
      <c r="G53">
        <f t="shared" si="2"/>
        <v>0.01</v>
      </c>
      <c r="H53" s="19">
        <f t="shared" si="3"/>
        <v>4.9161123285617822E-7</v>
      </c>
      <c r="I53" s="19">
        <f t="shared" si="4"/>
        <v>5.6021457189118354E-11</v>
      </c>
      <c r="J53" s="4">
        <f>(Volumes!B49+Volumes!C49)/1000*B53*(10^-6)/($J$2*D53)</f>
        <v>1.0600353017228758E-6</v>
      </c>
      <c r="K53" s="24">
        <f>(Volumes!B49/1000)*C53*E53*((Volumes!D49+Volumes!C49)/Volumes!C49/1000)</f>
        <v>2.1183191878638387E-10</v>
      </c>
      <c r="L53" s="19">
        <f>J53*(H53/1000*Volumes!B49)/(G53/1000*Volumes!B49)</f>
        <v>5.2112526155105385E-11</v>
      </c>
      <c r="M53" s="19">
        <f>L53*(I53/1000*Volumes!B49)/(G53/1000*Volumes!B49)</f>
        <v>2.9194196530150465E-19</v>
      </c>
      <c r="N53" s="20">
        <f t="shared" si="5"/>
        <v>2.6394444523343122E-10</v>
      </c>
      <c r="O53" s="20">
        <f>(N53+J53)*(1000/Volumes!D49)</f>
        <v>2.1205984923362183E-4</v>
      </c>
      <c r="P53" s="22">
        <f t="shared" si="6"/>
        <v>9.3325419049224632</v>
      </c>
      <c r="Q53" s="5">
        <f t="shared" si="7"/>
        <v>2.5470508491450317</v>
      </c>
    </row>
    <row r="54" spans="1:17" ht="15" x14ac:dyDescent="0.2">
      <c r="A54" s="29" t="s">
        <v>141</v>
      </c>
      <c r="B54" s="49">
        <v>1964.77780843702</v>
      </c>
      <c r="C54">
        <f t="shared" si="0"/>
        <v>1.96477780843702E-3</v>
      </c>
      <c r="D54">
        <v>308.14999999999998</v>
      </c>
      <c r="E54">
        <f t="shared" si="1"/>
        <v>2.6462895903596996E-2</v>
      </c>
      <c r="F54" s="1">
        <v>2</v>
      </c>
      <c r="G54">
        <f t="shared" si="2"/>
        <v>0.01</v>
      </c>
      <c r="H54" s="19">
        <f t="shared" si="3"/>
        <v>4.9161123285617822E-7</v>
      </c>
      <c r="I54" s="19">
        <f t="shared" si="4"/>
        <v>5.6021457189118354E-11</v>
      </c>
      <c r="J54" s="4">
        <f>(Volumes!B50+Volumes!C50)/1000*B54*(10^-6)/($J$2*D54)</f>
        <v>1.717211058919E-6</v>
      </c>
      <c r="K54" s="24">
        <f>(Volumes!B50/1000)*C54*E54*((Volumes!D50+Volumes!C50)/Volumes!C50/1000)</f>
        <v>3.4315849008121758E-10</v>
      </c>
      <c r="L54" s="19">
        <f>J54*(H54/1000*Volumes!B50)/(G54/1000*Volumes!B50)</f>
        <v>8.4420024574943302E-11</v>
      </c>
      <c r="M54" s="19">
        <f>L54*(I54/1000*Volumes!B50)/(G54/1000*Volumes!B50)</f>
        <v>4.7293327926295055E-19</v>
      </c>
      <c r="N54" s="20">
        <f t="shared" si="5"/>
        <v>4.2757851512909414E-10</v>
      </c>
      <c r="O54" s="20">
        <f>(N54+J54)*(1000/Volumes!D50)</f>
        <v>3.4352772748682582E-4</v>
      </c>
      <c r="P54" s="22">
        <f t="shared" si="6"/>
        <v>15.118311758967717</v>
      </c>
      <c r="Q54" s="5">
        <f t="shared" si="7"/>
        <v>4.1261115348442647</v>
      </c>
    </row>
    <row r="55" spans="1:17" ht="15" x14ac:dyDescent="0.2">
      <c r="A55" s="29" t="s">
        <v>142</v>
      </c>
      <c r="B55" s="49">
        <v>2002.2494684585899</v>
      </c>
      <c r="C55">
        <f t="shared" si="0"/>
        <v>2.0022494684585898E-3</v>
      </c>
      <c r="D55">
        <v>308.14999999999998</v>
      </c>
      <c r="E55">
        <f t="shared" si="1"/>
        <v>2.6462895903596996E-2</v>
      </c>
      <c r="F55" s="1">
        <v>2</v>
      </c>
      <c r="G55">
        <f t="shared" si="2"/>
        <v>0.01</v>
      </c>
      <c r="H55" s="19">
        <f t="shared" si="3"/>
        <v>4.9161123285617822E-7</v>
      </c>
      <c r="I55" s="19">
        <f t="shared" si="4"/>
        <v>5.6021457189118354E-11</v>
      </c>
      <c r="J55" s="4">
        <f>(Volumes!B51+Volumes!C51)/1000*B55*(10^-6)/($J$2*D55)</f>
        <v>1.7499611992701274E-6</v>
      </c>
      <c r="K55" s="24">
        <f>(Volumes!B51/1000)*C55*E55*((Volumes!D51+Volumes!C51)/Volumes!C51/1000)</f>
        <v>3.497031070952237E-10</v>
      </c>
      <c r="L55" s="19">
        <f>J55*(H55/1000*Volumes!B51)/(G55/1000*Volumes!B51)</f>
        <v>8.6030058262366355E-11</v>
      </c>
      <c r="M55" s="19">
        <f>L55*(I55/1000*Volumes!B51)/(G55/1000*Volumes!B51)</f>
        <v>4.8195292259225142E-19</v>
      </c>
      <c r="N55" s="20">
        <f t="shared" si="5"/>
        <v>4.3573316583954297E-10</v>
      </c>
      <c r="O55" s="20">
        <f>(N55+J55)*(1000/Volumes!D51)</f>
        <v>3.5007938648719337E-4</v>
      </c>
      <c r="P55" s="22">
        <f t="shared" si="6"/>
        <v>15.406643719914893</v>
      </c>
      <c r="Q55" s="5">
        <f t="shared" si="7"/>
        <v>4.2048035110976798</v>
      </c>
    </row>
    <row r="56" spans="1:17" ht="15" x14ac:dyDescent="0.2">
      <c r="A56" s="29" t="s">
        <v>143</v>
      </c>
      <c r="B56" s="49">
        <v>1585.6342288138401</v>
      </c>
      <c r="C56">
        <f t="shared" si="0"/>
        <v>1.5856342288138401E-3</v>
      </c>
      <c r="D56">
        <v>308.14999999999998</v>
      </c>
      <c r="E56">
        <f t="shared" si="1"/>
        <v>2.6462895903596996E-2</v>
      </c>
      <c r="F56" s="1">
        <v>2</v>
      </c>
      <c r="G56">
        <f t="shared" si="2"/>
        <v>0.01</v>
      </c>
      <c r="H56" s="19">
        <f t="shared" si="3"/>
        <v>4.9161123285617822E-7</v>
      </c>
      <c r="I56" s="19">
        <f t="shared" si="4"/>
        <v>5.6021457189118354E-11</v>
      </c>
      <c r="J56" s="4">
        <f>(Volumes!B52+Volumes!C52)/1000*B56*(10^-6)/($J$2*D56)</f>
        <v>1.3858404860983579E-6</v>
      </c>
      <c r="K56" s="24">
        <f>(Volumes!B52/1000)*C56*E56*((Volumes!D52+Volumes!C52)/Volumes!C52/1000)</f>
        <v>2.7693912535265424E-10</v>
      </c>
      <c r="L56" s="19">
        <f>J56*(H56/1000*Volumes!B52)/(G56/1000*Volumes!B52)</f>
        <v>6.8129474991281906E-11</v>
      </c>
      <c r="M56" s="19">
        <f>L56*(I56/1000*Volumes!B52)/(G56/1000*Volumes!B52)</f>
        <v>3.8167124665412089E-19</v>
      </c>
      <c r="N56" s="20">
        <f t="shared" si="5"/>
        <v>3.4506860072560743E-10</v>
      </c>
      <c r="O56" s="20">
        <f>(N56+J56)*(1000/Volumes!D52)</f>
        <v>2.7723711093981669E-4</v>
      </c>
      <c r="P56" s="22">
        <f t="shared" si="6"/>
        <v>12.200928015350392</v>
      </c>
      <c r="Q56" s="5">
        <f t="shared" si="7"/>
        <v>3.3298949394981379</v>
      </c>
    </row>
    <row r="57" spans="1:17" ht="15" x14ac:dyDescent="0.2">
      <c r="A57" s="29" t="s">
        <v>144</v>
      </c>
      <c r="B57" s="49">
        <v>1988.03270936078</v>
      </c>
      <c r="C57">
        <f t="shared" si="0"/>
        <v>1.98803270936078E-3</v>
      </c>
      <c r="D57">
        <v>308.14999999999998</v>
      </c>
      <c r="E57">
        <f t="shared" si="1"/>
        <v>2.6462895903596996E-2</v>
      </c>
      <c r="F57" s="1">
        <v>2</v>
      </c>
      <c r="G57">
        <f t="shared" si="2"/>
        <v>0.01</v>
      </c>
      <c r="H57" s="19">
        <f t="shared" si="3"/>
        <v>4.9161123285617822E-7</v>
      </c>
      <c r="I57" s="19">
        <f t="shared" si="4"/>
        <v>5.6021457189118354E-11</v>
      </c>
      <c r="J57" s="4">
        <f>(Volumes!B53+Volumes!C53)/1000*B57*(10^-6)/($J$2*D57)</f>
        <v>1.7375357861572996E-6</v>
      </c>
      <c r="K57" s="24">
        <f>(Volumes!B53/1000)*C57*E57*((Volumes!D53+Volumes!C53)/Volumes!C53/1000)</f>
        <v>3.4722007742901746E-10</v>
      </c>
      <c r="L57" s="19">
        <f>J57*(H57/1000*Volumes!B53)/(G57/1000*Volumes!B53)</f>
        <v>8.5419210996451903E-11</v>
      </c>
      <c r="M57" s="19">
        <f>L57*(I57/1000*Volumes!B53)/(G57/1000*Volumes!B53)</f>
        <v>4.7853086719659981E-19</v>
      </c>
      <c r="N57" s="20">
        <f t="shared" si="5"/>
        <v>4.3263928890400022E-10</v>
      </c>
      <c r="O57" s="20">
        <f>(N57+J57)*(1000/Volumes!D53)</f>
        <v>3.4759368508924075E-4</v>
      </c>
      <c r="P57" s="22">
        <f t="shared" si="6"/>
        <v>15.297250487092397</v>
      </c>
      <c r="Q57" s="5">
        <f t="shared" si="7"/>
        <v>4.1749477516068705</v>
      </c>
    </row>
    <row r="58" spans="1:17" ht="15" x14ac:dyDescent="0.2">
      <c r="A58" s="29" t="s">
        <v>145</v>
      </c>
      <c r="B58" s="49">
        <v>587.53802983632602</v>
      </c>
      <c r="C58">
        <f t="shared" si="0"/>
        <v>5.8753802983632598E-4</v>
      </c>
      <c r="D58">
        <v>308.14999999999998</v>
      </c>
      <c r="E58">
        <f t="shared" si="1"/>
        <v>2.6462895903596996E-2</v>
      </c>
      <c r="F58" s="1">
        <v>2</v>
      </c>
      <c r="G58">
        <f t="shared" si="2"/>
        <v>0.01</v>
      </c>
      <c r="H58" s="19">
        <f t="shared" si="3"/>
        <v>4.9161123285617822E-7</v>
      </c>
      <c r="I58" s="19">
        <f t="shared" si="4"/>
        <v>5.6021457189118354E-11</v>
      </c>
      <c r="J58" s="4">
        <f>(Volumes!B54+Volumes!C54)/1000*B58*(10^-6)/($J$2*D58)</f>
        <v>5.1350681895833371E-7</v>
      </c>
      <c r="K58" s="24">
        <f>(Volumes!B54/1000)*C58*E58*((Volumes!D54+Volumes!C54)/Volumes!C54/1000)</f>
        <v>1.0261652097155686E-10</v>
      </c>
      <c r="L58" s="19">
        <f>J58*(H58/1000*Volumes!B54)/(G58/1000*Volumes!B54)</f>
        <v>2.5244572034816075E-11</v>
      </c>
      <c r="M58" s="19">
        <f>L58*(I58/1000*Volumes!B54)/(G58/1000*Volumes!B54)</f>
        <v>1.4142377115060633E-19</v>
      </c>
      <c r="N58" s="20">
        <f t="shared" si="5"/>
        <v>1.2786109314779669E-10</v>
      </c>
      <c r="O58" s="20">
        <f>(N58+J58)*(1000/Volumes!D54)</f>
        <v>1.0272693601029629E-4</v>
      </c>
      <c r="P58" s="22">
        <f t="shared" si="6"/>
        <v>4.5209097268771297</v>
      </c>
      <c r="Q58" s="5">
        <f t="shared" si="7"/>
        <v>1.2338532284196688</v>
      </c>
    </row>
    <row r="59" spans="1:17" ht="15" x14ac:dyDescent="0.2">
      <c r="A59" s="29" t="s">
        <v>146</v>
      </c>
      <c r="B59" s="49">
        <v>1851</v>
      </c>
      <c r="C59">
        <f t="shared" si="0"/>
        <v>1.851E-3</v>
      </c>
      <c r="D59">
        <v>308.14999999999998</v>
      </c>
      <c r="E59">
        <f t="shared" si="1"/>
        <v>2.6462895903596996E-2</v>
      </c>
      <c r="F59" s="1">
        <v>2</v>
      </c>
      <c r="G59">
        <f t="shared" si="2"/>
        <v>0.01</v>
      </c>
      <c r="H59" s="19">
        <f t="shared" si="3"/>
        <v>4.9161123285617822E-7</v>
      </c>
      <c r="I59" s="19">
        <f t="shared" si="4"/>
        <v>5.6021457189118354E-11</v>
      </c>
      <c r="J59" s="4">
        <f>(Volumes!B55+Volumes!C55)/1000*B59*(10^-6)/($J$2*D59)</f>
        <v>1.6177695291599462E-6</v>
      </c>
      <c r="K59" s="24">
        <f>(Volumes!B55/1000)*C59*E59*((Volumes!D55+Volumes!C55)/Volumes!C55/1000)</f>
        <v>3.2328661409588311E-10</v>
      </c>
      <c r="L59" s="19">
        <f>J59*(H59/1000*Volumes!B55)/(G59/1000*Volumes!B55)</f>
        <v>7.9531367270748018E-11</v>
      </c>
      <c r="M59" s="19">
        <f>L59*(I59/1000*Volumes!B55)/(G59/1000*Volumes!B55)</f>
        <v>4.4554630867502588E-19</v>
      </c>
      <c r="N59" s="20">
        <f t="shared" si="5"/>
        <v>4.0281798181217742E-10</v>
      </c>
      <c r="O59" s="20">
        <f>(N59+J59)*(1000/Volumes!D55)</f>
        <v>3.2363446942835166E-4</v>
      </c>
      <c r="P59" s="22">
        <f t="shared" si="6"/>
        <v>14.242829365072328</v>
      </c>
      <c r="Q59" s="5">
        <f t="shared" si="7"/>
        <v>3.8871736123039318</v>
      </c>
    </row>
    <row r="60" spans="1:17" ht="15" x14ac:dyDescent="0.2">
      <c r="A60" s="29" t="s">
        <v>147</v>
      </c>
      <c r="B60" s="49">
        <v>900.96921703787905</v>
      </c>
      <c r="C60">
        <f t="shared" si="0"/>
        <v>9.0096921703787904E-4</v>
      </c>
      <c r="D60">
        <v>308.14999999999998</v>
      </c>
      <c r="E60">
        <f t="shared" si="1"/>
        <v>2.6462895903596996E-2</v>
      </c>
      <c r="F60" s="1">
        <v>2</v>
      </c>
      <c r="G60">
        <f t="shared" si="2"/>
        <v>0.01</v>
      </c>
      <c r="H60" s="19">
        <f t="shared" si="3"/>
        <v>4.9161123285617822E-7</v>
      </c>
      <c r="I60" s="19">
        <f t="shared" si="4"/>
        <v>5.6021457189118354E-11</v>
      </c>
      <c r="J60" s="4">
        <f>(Volumes!B56+Volumes!C56)/1000*B60*(10^-6)/($J$2*D60)</f>
        <v>7.874449195218666E-7</v>
      </c>
      <c r="K60" s="24">
        <f>(Volumes!B56/1000)*C60*E60*((Volumes!D56+Volumes!C56)/Volumes!C56/1000)</f>
        <v>1.5735888037860332E-10</v>
      </c>
      <c r="L60" s="19">
        <f>J60*(H60/1000*Volumes!B56)/(G60/1000*Volumes!B56)</f>
        <v>3.8711676769247893E-11</v>
      </c>
      <c r="M60" s="19">
        <f>L60*(I60/1000*Volumes!B56)/(G60/1000*Volumes!B56)</f>
        <v>2.1686845428474084E-19</v>
      </c>
      <c r="N60" s="20">
        <f t="shared" si="5"/>
        <v>1.9607055736471965E-10</v>
      </c>
      <c r="O60" s="20">
        <f>(N60+J60)*(1000/Volumes!D56)</f>
        <v>1.5752819801584625E-4</v>
      </c>
      <c r="P60" s="22">
        <f t="shared" si="6"/>
        <v>6.9326584664793769</v>
      </c>
      <c r="Q60" s="5">
        <f t="shared" si="7"/>
        <v>1.8920711863683288</v>
      </c>
    </row>
    <row r="61" spans="1:17" ht="15" x14ac:dyDescent="0.2">
      <c r="A61" s="29" t="s">
        <v>148</v>
      </c>
      <c r="B61" s="49">
        <v>566.50907553234504</v>
      </c>
      <c r="C61">
        <f t="shared" si="0"/>
        <v>5.6650907553234501E-4</v>
      </c>
      <c r="D61">
        <v>308.14999999999998</v>
      </c>
      <c r="E61">
        <f t="shared" si="1"/>
        <v>2.6462895903596996E-2</v>
      </c>
      <c r="F61" s="1">
        <v>2</v>
      </c>
      <c r="G61">
        <f t="shared" si="2"/>
        <v>0.01</v>
      </c>
      <c r="H61" s="19">
        <f t="shared" si="3"/>
        <v>4.9161123285617822E-7</v>
      </c>
      <c r="I61" s="19">
        <f t="shared" si="4"/>
        <v>5.6021457189118354E-11</v>
      </c>
      <c r="J61" s="4">
        <f>(Volumes!B57+Volumes!C57)/1000*B61*(10^-6)/($J$2*D61)</f>
        <v>4.9512756368924814E-7</v>
      </c>
      <c r="K61" s="24">
        <f>(Volumes!B57/1000)*C61*E61*((Volumes!D57+Volumes!C57)/Volumes!C57/1000)</f>
        <v>9.8943706582085734E-11</v>
      </c>
      <c r="L61" s="19">
        <f>J61*(H61/1000*Volumes!B57)/(G61/1000*Volumes!B57)</f>
        <v>2.4341027200634717E-11</v>
      </c>
      <c r="M61" s="19">
        <f>L61*(I61/1000*Volumes!B57)/(G61/1000*Volumes!B57)</f>
        <v>1.3636198132595231E-19</v>
      </c>
      <c r="N61" s="20">
        <f t="shared" si="5"/>
        <v>1.2328473391908244E-10</v>
      </c>
      <c r="O61" s="20">
        <f>(N61+J61)*(1000/Volumes!D57)</f>
        <v>9.9050169684633446E-5</v>
      </c>
      <c r="P61" s="22">
        <f t="shared" si="6"/>
        <v>4.3590989176510337</v>
      </c>
      <c r="Q61" s="5">
        <f t="shared" si="7"/>
        <v>1.1896915880821324</v>
      </c>
    </row>
    <row r="62" spans="1:17" ht="15" x14ac:dyDescent="0.2">
      <c r="A62" s="29" t="s">
        <v>149</v>
      </c>
      <c r="B62" s="49">
        <v>785.31534977721401</v>
      </c>
      <c r="C62">
        <f t="shared" si="0"/>
        <v>7.85315349777214E-4</v>
      </c>
      <c r="D62">
        <v>308.14999999999998</v>
      </c>
      <c r="E62">
        <f t="shared" si="1"/>
        <v>2.6462895903596996E-2</v>
      </c>
      <c r="F62" s="1">
        <v>2</v>
      </c>
      <c r="G62">
        <f t="shared" si="2"/>
        <v>0.01</v>
      </c>
      <c r="H62" s="19">
        <f t="shared" si="3"/>
        <v>4.9161123285617822E-7</v>
      </c>
      <c r="I62" s="19">
        <f t="shared" si="4"/>
        <v>5.6021457189118354E-11</v>
      </c>
      <c r="J62" s="4">
        <f>(Volumes!B58+Volumes!C58)/1000*B62*(10^-6)/($J$2*D62)</f>
        <v>6.8636371888231335E-7</v>
      </c>
      <c r="K62" s="24">
        <f>(Volumes!B58/1000)*C62*E62*((Volumes!D58+Volumes!C58)/Volumes!C58/1000)</f>
        <v>1.3715934112749844E-10</v>
      </c>
      <c r="L62" s="19">
        <f>J62*(H62/1000*Volumes!B58)/(G62/1000*Volumes!B58)</f>
        <v>3.3742411402748547E-11</v>
      </c>
      <c r="M62" s="19">
        <f>L62*(I62/1000*Volumes!B58)/(G62/1000*Volumes!B58)</f>
        <v>1.8902990558566966E-19</v>
      </c>
      <c r="N62" s="20">
        <f t="shared" si="5"/>
        <v>1.7090175271927689E-10</v>
      </c>
      <c r="O62" s="20">
        <f>(N62+J62)*(1000/Volumes!D58)</f>
        <v>1.3730692412700652E-4</v>
      </c>
      <c r="P62" s="22">
        <f t="shared" si="6"/>
        <v>6.0427404239054292</v>
      </c>
      <c r="Q62" s="5">
        <f t="shared" si="7"/>
        <v>1.6491934656894751</v>
      </c>
    </row>
    <row r="63" spans="1:17" ht="15" x14ac:dyDescent="0.2">
      <c r="A63" s="29" t="s">
        <v>150</v>
      </c>
      <c r="B63" s="49">
        <v>1154.4823929793399</v>
      </c>
      <c r="C63">
        <f t="shared" si="0"/>
        <v>1.1544823929793399E-3</v>
      </c>
      <c r="D63">
        <v>308.14999999999998</v>
      </c>
      <c r="E63">
        <f t="shared" si="1"/>
        <v>2.6462895903596996E-2</v>
      </c>
      <c r="F63" s="1">
        <v>2</v>
      </c>
      <c r="G63">
        <f t="shared" si="2"/>
        <v>0.01</v>
      </c>
      <c r="H63" s="19">
        <f t="shared" si="3"/>
        <v>4.9161123285617822E-7</v>
      </c>
      <c r="I63" s="19">
        <f t="shared" si="4"/>
        <v>5.6021457189118354E-11</v>
      </c>
      <c r="J63" s="4">
        <f>(Volumes!B59+Volumes!C59)/1000*B63*(10^-6)/($J$2*D63)</f>
        <v>1.009014822967928E-6</v>
      </c>
      <c r="K63" s="24">
        <f>(Volumes!B59/1000)*C63*E63*((Volumes!D59+Volumes!C59)/Volumes!C59/1000)</f>
        <v>2.0163625276045567E-10</v>
      </c>
      <c r="L63" s="19">
        <f>J63*(H63/1000*Volumes!B59)/(G63/1000*Volumes!B59)</f>
        <v>4.9604302108942159E-11</v>
      </c>
      <c r="M63" s="19">
        <f>L63*(I63/1000*Volumes!B59)/(G63/1000*Volumes!B59)</f>
        <v>2.7789052869921964E-19</v>
      </c>
      <c r="N63" s="20">
        <f t="shared" si="5"/>
        <v>2.5124055514728839E-10</v>
      </c>
      <c r="O63" s="20">
        <f>(N63+J63)*(1000/Volumes!D59)</f>
        <v>2.0185321270461506E-4</v>
      </c>
      <c r="P63" s="22">
        <f t="shared" si="6"/>
        <v>8.8833580379174037</v>
      </c>
      <c r="Q63" s="5">
        <f t="shared" si="7"/>
        <v>2.4244589377951309</v>
      </c>
    </row>
    <row r="64" spans="1:17" ht="15" x14ac:dyDescent="0.2">
      <c r="A64" s="29" t="s">
        <v>151</v>
      </c>
      <c r="B64" s="49">
        <v>806</v>
      </c>
      <c r="C64">
        <f t="shared" si="0"/>
        <v>8.0599999999999997E-4</v>
      </c>
      <c r="D64">
        <v>308.14999999999998</v>
      </c>
      <c r="E64">
        <f t="shared" si="1"/>
        <v>2.6462895903596996E-2</v>
      </c>
      <c r="F64" s="1">
        <v>2</v>
      </c>
      <c r="G64">
        <f t="shared" si="2"/>
        <v>0.01</v>
      </c>
      <c r="H64" s="19">
        <f t="shared" si="3"/>
        <v>4.9161123285617822E-7</v>
      </c>
      <c r="I64" s="19">
        <f t="shared" si="4"/>
        <v>5.6021457189118354E-11</v>
      </c>
      <c r="J64" s="4">
        <f>(Volumes!B60+Volumes!C60)/1000*B64*(10^-6)/($J$2*D64)</f>
        <v>7.0444205321605434E-7</v>
      </c>
      <c r="K64" s="24">
        <f>(Volumes!B60/1000)*C64*E64*((Volumes!D60+Volumes!C60)/Volumes!C60/1000)</f>
        <v>1.4077202104877457E-10</v>
      </c>
      <c r="L64" s="19">
        <f>J64*(H64/1000*Volumes!B60)/(G64/1000*Volumes!B60)</f>
        <v>3.4631162625728199E-11</v>
      </c>
      <c r="M64" s="19">
        <f>L64*(I64/1000*Volumes!B60)/(G64/1000*Volumes!B60)</f>
        <v>1.9400881944466278E-19</v>
      </c>
      <c r="N64" s="20">
        <f t="shared" si="5"/>
        <v>1.7540318386851159E-10</v>
      </c>
      <c r="O64" s="20">
        <f>(N64+J64)*(1000/Volumes!D60)</f>
        <v>1.4092349127998457E-4</v>
      </c>
      <c r="P64" s="22">
        <f t="shared" si="6"/>
        <v>6.2019019277408409</v>
      </c>
      <c r="Q64" s="5">
        <f t="shared" si="7"/>
        <v>1.6926320537638946</v>
      </c>
    </row>
    <row r="65" spans="1:17" ht="15" x14ac:dyDescent="0.2">
      <c r="A65" s="29" t="s">
        <v>152</v>
      </c>
      <c r="B65" s="49">
        <v>714</v>
      </c>
      <c r="C65">
        <f t="shared" si="0"/>
        <v>7.1400000000000001E-4</v>
      </c>
      <c r="D65">
        <v>308.14999999999998</v>
      </c>
      <c r="E65">
        <f t="shared" si="1"/>
        <v>2.6462895903596996E-2</v>
      </c>
      <c r="F65" s="1">
        <v>2</v>
      </c>
      <c r="G65">
        <f t="shared" si="2"/>
        <v>0.01</v>
      </c>
      <c r="H65" s="19">
        <f t="shared" si="3"/>
        <v>4.9161123285617822E-7</v>
      </c>
      <c r="I65" s="19">
        <f t="shared" si="4"/>
        <v>5.6021457189118354E-11</v>
      </c>
      <c r="J65" s="4">
        <f>(Volumes!B61+Volumes!C61)/1000*B65*(10^-6)/($J$2*D65)</f>
        <v>6.2403427542960654E-7</v>
      </c>
      <c r="K65" s="24">
        <f>(Volumes!B61/1000)*C65*E65*((Volumes!D61+Volumes!C61)/Volumes!C61/1000)</f>
        <v>1.2470375065611048E-10</v>
      </c>
      <c r="L65" s="19">
        <f>J65*(H65/1000*Volumes!B61)/(G65/1000*Volumes!B61)</f>
        <v>3.0678225948846079E-11</v>
      </c>
      <c r="M65" s="19">
        <f>L65*(I65/1000*Volumes!B61)/(G65/1000*Volumes!B61)</f>
        <v>1.7186389216313803E-19</v>
      </c>
      <c r="N65" s="20">
        <f t="shared" si="5"/>
        <v>1.5538197677682045E-10</v>
      </c>
      <c r="O65" s="20">
        <f>(N65+J65)*(1000/Volumes!D61)</f>
        <v>1.2483793148127667E-4</v>
      </c>
      <c r="P65" s="22">
        <f t="shared" si="6"/>
        <v>5.4939925265595049</v>
      </c>
      <c r="Q65" s="5">
        <f t="shared" si="7"/>
        <v>1.4994283950216141</v>
      </c>
    </row>
    <row r="66" spans="1:17" ht="15" x14ac:dyDescent="0.2">
      <c r="A66" s="29" t="s">
        <v>153</v>
      </c>
      <c r="B66" s="49">
        <v>1338.32985218557</v>
      </c>
      <c r="C66">
        <f t="shared" si="0"/>
        <v>1.33832985218557E-3</v>
      </c>
      <c r="D66">
        <v>308.14999999999998</v>
      </c>
      <c r="E66">
        <f t="shared" si="1"/>
        <v>2.6462895903596996E-2</v>
      </c>
      <c r="F66" s="1">
        <v>2</v>
      </c>
      <c r="G66">
        <f t="shared" si="2"/>
        <v>0.01</v>
      </c>
      <c r="H66" s="19">
        <f t="shared" si="3"/>
        <v>4.9161123285617822E-7</v>
      </c>
      <c r="I66" s="19">
        <f t="shared" si="4"/>
        <v>5.6021457189118354E-11</v>
      </c>
      <c r="J66" s="4">
        <f>(Volumes!B62+Volumes!C62)/1000*B66*(10^-6)/($J$2*D66)</f>
        <v>1.1696970582555106E-6</v>
      </c>
      <c r="K66" s="24">
        <f>(Volumes!B62/1000)*C66*E66*((Volumes!D62+Volumes!C62)/Volumes!C62/1000)</f>
        <v>2.3374615151621644E-10</v>
      </c>
      <c r="L66" s="19">
        <f>J66*(H66/1000*Volumes!B62)/(G66/1000*Volumes!B62)</f>
        <v>5.7503621287723653E-11</v>
      </c>
      <c r="M66" s="19">
        <f>L66*(I66/1000*Volumes!B62)/(G66/1000*Volumes!B62)</f>
        <v>3.2214366581894852E-19</v>
      </c>
      <c r="N66" s="20">
        <f t="shared" si="5"/>
        <v>2.9124977312608377E-10</v>
      </c>
      <c r="O66" s="20">
        <f>(N66+J66)*(1000/Volumes!D62)</f>
        <v>2.3399766160572735E-4</v>
      </c>
      <c r="P66" s="22">
        <f t="shared" si="6"/>
        <v>10.298003089606453</v>
      </c>
      <c r="Q66" s="5">
        <f t="shared" si="7"/>
        <v>2.8105459135463908</v>
      </c>
    </row>
    <row r="67" spans="1:17" ht="15" x14ac:dyDescent="0.2">
      <c r="A67" s="29" t="s">
        <v>154</v>
      </c>
      <c r="B67" s="49">
        <v>1418.7823949532301</v>
      </c>
      <c r="C67">
        <f t="shared" si="0"/>
        <v>1.41878239495323E-3</v>
      </c>
      <c r="D67">
        <v>308.14999999999998</v>
      </c>
      <c r="E67">
        <f t="shared" si="1"/>
        <v>2.6462895903596996E-2</v>
      </c>
      <c r="F67" s="1">
        <v>2</v>
      </c>
      <c r="G67">
        <f t="shared" si="2"/>
        <v>0.01</v>
      </c>
      <c r="H67" s="19">
        <f t="shared" si="3"/>
        <v>4.9161123285617822E-7</v>
      </c>
      <c r="I67" s="19">
        <f t="shared" si="4"/>
        <v>5.6021457189118354E-11</v>
      </c>
      <c r="J67" s="4">
        <f>(Volumes!B63+Volumes!C63)/1000*B67*(10^-6)/($J$2*D67)</f>
        <v>1.240012386312214E-6</v>
      </c>
      <c r="K67" s="24">
        <f>(Volumes!B63/1000)*C67*E67*((Volumes!D63+Volumes!C63)/Volumes!C63/1000)</f>
        <v>2.4779759946152219E-10</v>
      </c>
      <c r="L67" s="19">
        <f>J67*(H67/1000*Volumes!B63)/(G67/1000*Volumes!B63)</f>
        <v>6.0960401799187923E-11</v>
      </c>
      <c r="M67" s="19">
        <f>L67*(I67/1000*Volumes!B63)/(G67/1000*Volumes!B63)</f>
        <v>3.4150905396246597E-19</v>
      </c>
      <c r="N67" s="20">
        <f t="shared" si="5"/>
        <v>3.0875800160221918E-10</v>
      </c>
      <c r="O67" s="20">
        <f>(N67+J67)*(1000/Volumes!D63)</f>
        <v>2.4806422886276326E-4</v>
      </c>
      <c r="P67" s="22">
        <f t="shared" si="6"/>
        <v>10.917058648021349</v>
      </c>
      <c r="Q67" s="5">
        <f t="shared" si="7"/>
        <v>2.9794994528706495</v>
      </c>
    </row>
    <row r="68" spans="1:17" ht="15" x14ac:dyDescent="0.2">
      <c r="A68" s="29" t="s">
        <v>155</v>
      </c>
      <c r="B68" s="49">
        <v>895.90174496647205</v>
      </c>
      <c r="C68">
        <f t="shared" si="0"/>
        <v>8.9590174496647203E-4</v>
      </c>
      <c r="D68">
        <v>308.14999999999998</v>
      </c>
      <c r="E68">
        <f t="shared" si="1"/>
        <v>2.6462895903596996E-2</v>
      </c>
      <c r="F68" s="1">
        <v>2</v>
      </c>
      <c r="G68">
        <f t="shared" si="2"/>
        <v>0.01</v>
      </c>
      <c r="H68" s="19">
        <f t="shared" si="3"/>
        <v>4.9161123285617822E-7</v>
      </c>
      <c r="I68" s="19">
        <f t="shared" si="4"/>
        <v>5.6021457189118354E-11</v>
      </c>
      <c r="J68" s="4">
        <f>(Volumes!B64+Volumes!C64)/1000*B68*(10^-6)/($J$2*D68)</f>
        <v>7.8301596117124999E-7</v>
      </c>
      <c r="K68" s="24">
        <f>(Volumes!B64/1000)*C68*E68*((Volumes!D64+Volumes!C64)/Volumes!C64/1000)</f>
        <v>1.5647382047153109E-10</v>
      </c>
      <c r="L68" s="19">
        <f>J68*(H68/1000*Volumes!B64)/(G68/1000*Volumes!B64)</f>
        <v>3.8493944201746362E-11</v>
      </c>
      <c r="M68" s="19">
        <f>L68*(I68/1000*Volumes!B64)/(G68/1000*Volumes!B64)</f>
        <v>2.1564868471384444E-19</v>
      </c>
      <c r="N68" s="20">
        <f t="shared" si="5"/>
        <v>1.9496776488892613E-10</v>
      </c>
      <c r="O68" s="20">
        <f>(N68+J68)*(1000/Volumes!D64)</f>
        <v>1.5664218578722777E-4</v>
      </c>
      <c r="P68" s="22">
        <f t="shared" si="6"/>
        <v>6.8936659543101069</v>
      </c>
      <c r="Q68" s="5">
        <f t="shared" si="7"/>
        <v>1.8814292934903927</v>
      </c>
    </row>
    <row r="69" spans="1:17" ht="15" x14ac:dyDescent="0.2">
      <c r="A69" s="29" t="s">
        <v>156</v>
      </c>
      <c r="B69" s="49">
        <v>679</v>
      </c>
      <c r="C69">
        <f t="shared" si="0"/>
        <v>6.7900000000000002E-4</v>
      </c>
      <c r="D69">
        <v>308.14999999999998</v>
      </c>
      <c r="E69">
        <f t="shared" si="1"/>
        <v>2.6462895903596996E-2</v>
      </c>
      <c r="F69" s="1">
        <v>2</v>
      </c>
      <c r="G69">
        <f t="shared" si="2"/>
        <v>0.01</v>
      </c>
      <c r="H69" s="19">
        <f t="shared" si="3"/>
        <v>4.9161123285617822E-7</v>
      </c>
      <c r="I69" s="19">
        <f t="shared" si="4"/>
        <v>5.6021457189118354E-11</v>
      </c>
      <c r="J69" s="4">
        <f>(Volumes!B65+Volumes!C65)/1000*B69*(10^-6)/($J$2*D69)</f>
        <v>5.934443599673709E-7</v>
      </c>
      <c r="K69" s="24">
        <f>(Volumes!B65/1000)*C69*E69*((Volumes!D65+Volumes!C65)/Volumes!C65/1000)</f>
        <v>1.1859082170237959E-10</v>
      </c>
      <c r="L69" s="19">
        <f>J69*(H69/1000*Volumes!B65)/(G69/1000*Volumes!B65)</f>
        <v>2.9174391343510488E-11</v>
      </c>
      <c r="M69" s="19">
        <f>L69*(I69/1000*Volumes!B65)/(G69/1000*Volumes!B65)</f>
        <v>1.6343919156690578E-19</v>
      </c>
      <c r="N69" s="20">
        <f t="shared" si="5"/>
        <v>1.4776521320932924E-10</v>
      </c>
      <c r="O69" s="20">
        <f>(N69+J69)*(1000/Volumes!D65)</f>
        <v>1.1871842503611606E-4</v>
      </c>
      <c r="P69" s="22">
        <f t="shared" si="6"/>
        <v>5.2246791674144317</v>
      </c>
      <c r="Q69" s="5">
        <f t="shared" si="7"/>
        <v>1.4259270031087898</v>
      </c>
    </row>
    <row r="70" spans="1:17" ht="15" x14ac:dyDescent="0.2">
      <c r="A70" s="29" t="s">
        <v>157</v>
      </c>
      <c r="B70" s="49">
        <v>1515.9352541123501</v>
      </c>
      <c r="C70">
        <f t="shared" si="0"/>
        <v>1.51593525411235E-3</v>
      </c>
      <c r="D70">
        <v>308.14999999999998</v>
      </c>
      <c r="E70">
        <f t="shared" si="1"/>
        <v>2.6462895903596996E-2</v>
      </c>
      <c r="F70" s="1">
        <v>2</v>
      </c>
      <c r="G70">
        <f t="shared" si="2"/>
        <v>0.01</v>
      </c>
      <c r="H70" s="19">
        <f t="shared" si="3"/>
        <v>4.9161123285617822E-7</v>
      </c>
      <c r="I70" s="19">
        <f t="shared" si="4"/>
        <v>5.6021457189118354E-11</v>
      </c>
      <c r="J70" s="4">
        <f>(Volumes!B66+Volumes!C66)/1000*B70*(10^-6)/($J$2*D70)</f>
        <v>1.324923750557699E-6</v>
      </c>
      <c r="K70" s="24">
        <f>(Volumes!B66/1000)*C70*E70*((Volumes!D66+Volumes!C66)/Volumes!C66/1000)</f>
        <v>2.6476584305270864E-10</v>
      </c>
      <c r="L70" s="19">
        <f>J70*(H70/1000*Volumes!B66)/(G70/1000*Volumes!B66)</f>
        <v>6.5134739845210204E-11</v>
      </c>
      <c r="M70" s="19">
        <f>L70*(I70/1000*Volumes!B66)/(G70/1000*Volumes!B66)</f>
        <v>3.6489430397628046E-19</v>
      </c>
      <c r="N70" s="20">
        <f t="shared" si="5"/>
        <v>3.2990058326281312E-10</v>
      </c>
      <c r="O70" s="20">
        <f>(N70+J70)*(1000/Volumes!D66)</f>
        <v>2.6505073022819233E-4</v>
      </c>
      <c r="P70" s="22">
        <f t="shared" si="6"/>
        <v>11.664617586612517</v>
      </c>
      <c r="Q70" s="5">
        <f t="shared" si="7"/>
        <v>3.1835243207708177</v>
      </c>
    </row>
    <row r="71" spans="1:17" ht="15" x14ac:dyDescent="0.2">
      <c r="A71" s="29" t="s">
        <v>158</v>
      </c>
      <c r="B71" s="49">
        <v>958.18987072285199</v>
      </c>
      <c r="C71">
        <f t="shared" ref="C71:C134" si="8">B71/1000000</f>
        <v>9.5818987072285203E-4</v>
      </c>
      <c r="D71">
        <v>308.14999999999998</v>
      </c>
      <c r="E71">
        <f t="shared" ref="E71:E111" si="9">EXP(-58.0931+(90.5069*(100/D71))+(22.294*LN(D71/100)))</f>
        <v>2.6462895903596996E-2</v>
      </c>
      <c r="F71" s="1">
        <v>2</v>
      </c>
      <c r="G71">
        <f t="shared" ref="G71:G134" si="10">10^-F71</f>
        <v>0.01</v>
      </c>
      <c r="H71" s="19">
        <f t="shared" ref="H71:H111" si="11">10^((-3404.71/D71)+14.8435-0.032786*D71)</f>
        <v>4.9161123285617822E-7</v>
      </c>
      <c r="I71" s="19">
        <f t="shared" ref="I71:I111" si="12">10^((-2902.39/D71)+6.498-0.02379*D71)</f>
        <v>5.6021457189118354E-11</v>
      </c>
      <c r="J71" s="4">
        <f>(Volumes!B67+Volumes!C67)/1000*B71*(10^-6)/($J$2*D71)</f>
        <v>8.3745563263378607E-7</v>
      </c>
      <c r="K71" s="24">
        <f>(Volumes!B67/1000)*C71*E71*((Volumes!D67+Volumes!C67)/Volumes!C67/1000)</f>
        <v>1.6735276011181131E-10</v>
      </c>
      <c r="L71" s="19">
        <f>J71*(H71/1000*Volumes!B67)/(G71/1000*Volumes!B67)</f>
        <v>4.1170259602144633E-11</v>
      </c>
      <c r="M71" s="19">
        <f>L71*(I71/1000*Volumes!B67)/(G71/1000*Volumes!B67)</f>
        <v>2.3064179357664341E-19</v>
      </c>
      <c r="N71" s="20">
        <f t="shared" ref="N71:N111" si="13">SUM(K71:M71)</f>
        <v>2.0852301994459772E-10</v>
      </c>
      <c r="O71" s="20">
        <f>(N71+J71)*(1000/Volumes!D67)</f>
        <v>1.6753283113074612E-4</v>
      </c>
      <c r="P71" s="22">
        <f t="shared" ref="P71:P134" si="14">O71*44.009*1000</f>
        <v>7.3729523652330053</v>
      </c>
      <c r="Q71" s="5">
        <f t="shared" ref="Q71:Q111" si="15">P71/44.009*12.011</f>
        <v>2.0122368347113913</v>
      </c>
    </row>
    <row r="72" spans="1:17" ht="15" x14ac:dyDescent="0.2">
      <c r="A72" s="29" t="s">
        <v>159</v>
      </c>
      <c r="B72" s="49">
        <v>792</v>
      </c>
      <c r="C72">
        <f t="shared" si="8"/>
        <v>7.9199999999999995E-4</v>
      </c>
      <c r="D72">
        <v>308.14999999999998</v>
      </c>
      <c r="E72">
        <f t="shared" si="9"/>
        <v>2.6462895903596996E-2</v>
      </c>
      <c r="F72" s="1">
        <v>2</v>
      </c>
      <c r="G72">
        <f t="shared" si="10"/>
        <v>0.01</v>
      </c>
      <c r="H72" s="19">
        <f t="shared" si="11"/>
        <v>4.9161123285617822E-7</v>
      </c>
      <c r="I72" s="19">
        <f t="shared" si="12"/>
        <v>5.6021457189118354E-11</v>
      </c>
      <c r="J72" s="4">
        <f>(Volumes!B68+Volumes!C68)/1000*B72*(10^-6)/($J$2*D72)</f>
        <v>6.9220608703116009E-7</v>
      </c>
      <c r="K72" s="24">
        <f>(Volumes!B68/1000)*C72*E72*((Volumes!D68+Volumes!C68)/Volumes!C68/1000)</f>
        <v>1.383268494672822E-10</v>
      </c>
      <c r="L72" s="19">
        <f>J72*(H72/1000*Volumes!B68)/(G72/1000*Volumes!B68)</f>
        <v>3.4029628783593961E-11</v>
      </c>
      <c r="M72" s="19">
        <f>L72*(I72/1000*Volumes!B68)/(G72/1000*Volumes!B68)</f>
        <v>1.9063893920616988E-19</v>
      </c>
      <c r="N72" s="20">
        <f t="shared" si="13"/>
        <v>1.7235647844151511E-10</v>
      </c>
      <c r="O72" s="20">
        <f>(N72+J72)*(1000/Volumes!D68)</f>
        <v>1.3847568870192033E-4</v>
      </c>
      <c r="P72" s="22">
        <f t="shared" si="14"/>
        <v>6.0941765840828115</v>
      </c>
      <c r="Q72" s="5">
        <f t="shared" si="15"/>
        <v>1.6632314969987647</v>
      </c>
    </row>
    <row r="73" spans="1:17" ht="15" x14ac:dyDescent="0.2">
      <c r="A73" s="29" t="s">
        <v>160</v>
      </c>
      <c r="B73" s="49">
        <v>516</v>
      </c>
      <c r="C73">
        <f t="shared" si="8"/>
        <v>5.1599999999999997E-4</v>
      </c>
      <c r="D73">
        <v>308.14999999999998</v>
      </c>
      <c r="E73">
        <f t="shared" si="9"/>
        <v>2.6462895903596996E-2</v>
      </c>
      <c r="F73" s="1">
        <v>2</v>
      </c>
      <c r="G73">
        <f t="shared" si="10"/>
        <v>0.01</v>
      </c>
      <c r="H73" s="19">
        <f t="shared" si="11"/>
        <v>4.9161123285617822E-7</v>
      </c>
      <c r="I73" s="19">
        <f t="shared" si="12"/>
        <v>5.6021457189118354E-11</v>
      </c>
      <c r="J73" s="4">
        <f>(Volumes!B69+Volumes!C69)/1000*B73*(10^-6)/($J$2*D73)</f>
        <v>4.5098275367181647E-7</v>
      </c>
      <c r="K73" s="24">
        <f>(Volumes!B69/1000)*C73*E73*((Volumes!D69+Volumes!C69)/Volumes!C69/1000)</f>
        <v>9.0122038289289922E-11</v>
      </c>
      <c r="L73" s="19">
        <f>J73*(H73/1000*Volumes!B69)/(G73/1000*Volumes!B69)</f>
        <v>2.2170818752947583E-11</v>
      </c>
      <c r="M73" s="19">
        <f>L73*(I73/1000*Volumes!B69)/(G73/1000*Volumes!B69)</f>
        <v>1.2420415736159553E-19</v>
      </c>
      <c r="N73" s="20">
        <f t="shared" si="13"/>
        <v>1.1229285716644166E-10</v>
      </c>
      <c r="O73" s="20">
        <f>(N73+J73)*(1000/Volumes!D69)</f>
        <v>9.0219009305796583E-5</v>
      </c>
      <c r="P73" s="22">
        <f t="shared" si="14"/>
        <v>3.9704483805388016</v>
      </c>
      <c r="Q73" s="5">
        <f t="shared" si="15"/>
        <v>1.0836205207719225</v>
      </c>
    </row>
    <row r="74" spans="1:17" ht="15" x14ac:dyDescent="0.2">
      <c r="A74" s="29" t="s">
        <v>161</v>
      </c>
      <c r="B74" s="49">
        <v>1153.92968934949</v>
      </c>
      <c r="C74">
        <f t="shared" si="8"/>
        <v>1.15392968934949E-3</v>
      </c>
      <c r="D74">
        <v>308.14999999999998</v>
      </c>
      <c r="E74">
        <f t="shared" si="9"/>
        <v>2.6462895903596996E-2</v>
      </c>
      <c r="F74" s="1">
        <v>2</v>
      </c>
      <c r="G74">
        <f t="shared" si="10"/>
        <v>0.01</v>
      </c>
      <c r="H74" s="19">
        <f t="shared" si="11"/>
        <v>4.9161123285617822E-7</v>
      </c>
      <c r="I74" s="19">
        <f t="shared" si="12"/>
        <v>5.6021457189118354E-11</v>
      </c>
      <c r="J74" s="4">
        <f>(Volumes!B70+Volumes!C70)/1000*B74*(10^-6)/($J$2*D74)</f>
        <v>1.00853176133042E-6</v>
      </c>
      <c r="K74" s="24">
        <f>(Volumes!B70/1000)*C74*E74*((Volumes!D70+Volumes!C70)/Volumes!C70/1000)</f>
        <v>2.0153972024554877E-10</v>
      </c>
      <c r="L74" s="19">
        <f>J74*(H74/1000*Volumes!B70)/(G74/1000*Volumes!B70)</f>
        <v>4.9580554256226072E-11</v>
      </c>
      <c r="M74" s="19">
        <f>L74*(I74/1000*Volumes!B70)/(G74/1000*Volumes!B70)</f>
        <v>2.7775748976779288E-19</v>
      </c>
      <c r="N74" s="20">
        <f t="shared" si="13"/>
        <v>2.5112027477953232E-10</v>
      </c>
      <c r="O74" s="20">
        <f>(N74+J74)*(1000/Volumes!D70)</f>
        <v>2.0175657632103992E-4</v>
      </c>
      <c r="P74" s="22">
        <f t="shared" si="14"/>
        <v>8.8791051673126464</v>
      </c>
      <c r="Q74" s="5">
        <f t="shared" si="15"/>
        <v>2.4232982381920105</v>
      </c>
    </row>
    <row r="75" spans="1:17" ht="15" x14ac:dyDescent="0.2">
      <c r="A75" s="29" t="s">
        <v>162</v>
      </c>
      <c r="B75" s="49">
        <v>842.70475278793504</v>
      </c>
      <c r="C75">
        <f t="shared" si="8"/>
        <v>8.4270475278793507E-4</v>
      </c>
      <c r="D75">
        <v>308.14999999999998</v>
      </c>
      <c r="E75">
        <f t="shared" si="9"/>
        <v>2.6462895903596996E-2</v>
      </c>
      <c r="F75" s="1">
        <v>2</v>
      </c>
      <c r="G75">
        <f t="shared" si="10"/>
        <v>0.01</v>
      </c>
      <c r="H75" s="19">
        <f t="shared" si="11"/>
        <v>4.9161123285617822E-7</v>
      </c>
      <c r="I75" s="19">
        <f t="shared" si="12"/>
        <v>5.6021457189118354E-11</v>
      </c>
      <c r="J75" s="4">
        <f>(Volumes!B71+Volumes!C71)/1000*B75*(10^-6)/($J$2*D75)</f>
        <v>7.3652191849734562E-7</v>
      </c>
      <c r="K75" s="24">
        <f>(Volumes!B71/1000)*C75*E75*((Volumes!D71+Volumes!C71)/Volumes!C71/1000)</f>
        <v>1.4718269379325752E-10</v>
      </c>
      <c r="L75" s="19">
        <f>J75*(H75/1000*Volumes!B71)/(G75/1000*Volumes!B71)</f>
        <v>3.6208244837807775E-11</v>
      </c>
      <c r="M75" s="19">
        <f>L75*(I75/1000*Volumes!B71)/(G75/1000*Volumes!B71)</f>
        <v>2.0284386380743636E-19</v>
      </c>
      <c r="N75" s="20">
        <f t="shared" si="13"/>
        <v>1.8339093883390917E-10</v>
      </c>
      <c r="O75" s="20">
        <f>(N75+J75)*(1000/Volumes!D71)</f>
        <v>1.4734106188723589E-4</v>
      </c>
      <c r="P75" s="22">
        <f t="shared" si="14"/>
        <v>6.4843327925953638</v>
      </c>
      <c r="Q75" s="5">
        <f t="shared" si="15"/>
        <v>1.7697134943275898</v>
      </c>
    </row>
    <row r="76" spans="1:17" ht="15" x14ac:dyDescent="0.2">
      <c r="A76" s="29" t="s">
        <v>163</v>
      </c>
      <c r="B76" s="49">
        <v>652.78665205095399</v>
      </c>
      <c r="C76">
        <f t="shared" si="8"/>
        <v>6.5278665205095396E-4</v>
      </c>
      <c r="D76">
        <v>308.14999999999998</v>
      </c>
      <c r="E76">
        <f t="shared" si="9"/>
        <v>2.6462895903596996E-2</v>
      </c>
      <c r="F76" s="1">
        <v>2</v>
      </c>
      <c r="G76">
        <f t="shared" si="10"/>
        <v>0.01</v>
      </c>
      <c r="H76" s="19">
        <f t="shared" si="11"/>
        <v>4.9161123285617822E-7</v>
      </c>
      <c r="I76" s="19">
        <f t="shared" si="12"/>
        <v>5.6021457189118354E-11</v>
      </c>
      <c r="J76" s="4">
        <f>(Volumes!B72+Volumes!C72)/1000*B76*(10^-6)/($J$2*D76)</f>
        <v>5.7053395717469993E-7</v>
      </c>
      <c r="K76" s="24">
        <f>(Volumes!B72/1000)*C76*E76*((Volumes!D72+Volumes!C72)/Volumes!C72/1000)</f>
        <v>1.1401252645518112E-10</v>
      </c>
      <c r="L76" s="19">
        <f>J76*(H76/1000*Volumes!B72)/(G76/1000*Volumes!B72)</f>
        <v>2.8048090207296824E-11</v>
      </c>
      <c r="M76" s="19">
        <f>L76*(I76/1000*Volumes!B72)/(G76/1000*Volumes!B72)</f>
        <v>1.5712948847846087E-19</v>
      </c>
      <c r="N76" s="20">
        <f t="shared" si="13"/>
        <v>1.4206061681960743E-10</v>
      </c>
      <c r="O76" s="20">
        <f>(N76+J76)*(1000/Volumes!D72)</f>
        <v>1.141352035583039E-4</v>
      </c>
      <c r="P76" s="22">
        <f t="shared" si="14"/>
        <v>5.0229761733973968</v>
      </c>
      <c r="Q76" s="5">
        <f t="shared" si="15"/>
        <v>1.3708779299387881</v>
      </c>
    </row>
    <row r="77" spans="1:17" ht="15" x14ac:dyDescent="0.2">
      <c r="A77" s="29" t="s">
        <v>164</v>
      </c>
      <c r="B77" s="49">
        <v>888</v>
      </c>
      <c r="C77">
        <f t="shared" si="8"/>
        <v>8.8800000000000001E-4</v>
      </c>
      <c r="D77">
        <v>308.14999999999998</v>
      </c>
      <c r="E77">
        <f t="shared" si="9"/>
        <v>2.6462895903596996E-2</v>
      </c>
      <c r="F77" s="1">
        <v>2</v>
      </c>
      <c r="G77">
        <f t="shared" si="10"/>
        <v>0.01</v>
      </c>
      <c r="H77" s="19">
        <f t="shared" si="11"/>
        <v>4.9161123285617822E-7</v>
      </c>
      <c r="I77" s="19">
        <f t="shared" si="12"/>
        <v>5.6021457189118354E-11</v>
      </c>
      <c r="J77" s="4">
        <f>(Volumes!B73+Volumes!C73)/1000*B77*(10^-6)/($J$2*D77)</f>
        <v>7.7610985515614918E-7</v>
      </c>
      <c r="K77" s="24">
        <f>(Volumes!B73/1000)*C77*E77*((Volumes!D73+Volumes!C73)/Volumes!C73/1000)</f>
        <v>1.5509374031180128E-10</v>
      </c>
      <c r="L77" s="19">
        <f>J77*(H77/1000*Volumes!B73)/(G77/1000*Volumes!B73)</f>
        <v>3.8154432272514444E-11</v>
      </c>
      <c r="M77" s="19">
        <f>L77*(I77/1000*Volumes!B73)/(G77/1000*Volumes!B73)</f>
        <v>2.1374668941297835E-19</v>
      </c>
      <c r="N77" s="20">
        <f t="shared" si="13"/>
        <v>1.9324817279806242E-10</v>
      </c>
      <c r="O77" s="20">
        <f>(N77+J77)*(1000/Volumes!D73)</f>
        <v>1.5526062066578946E-4</v>
      </c>
      <c r="P77" s="22">
        <f t="shared" si="14"/>
        <v>6.832864654880729</v>
      </c>
      <c r="Q77" s="5">
        <f t="shared" si="15"/>
        <v>1.8648353148167971</v>
      </c>
    </row>
    <row r="78" spans="1:17" ht="15" x14ac:dyDescent="0.2">
      <c r="A78" s="29" t="s">
        <v>165</v>
      </c>
      <c r="B78" s="49">
        <v>1417.94045544041</v>
      </c>
      <c r="C78">
        <f t="shared" si="8"/>
        <v>1.4179404554404099E-3</v>
      </c>
      <c r="D78">
        <v>308.14999999999998</v>
      </c>
      <c r="E78">
        <f t="shared" si="9"/>
        <v>2.6462895903596996E-2</v>
      </c>
      <c r="F78" s="1">
        <v>2</v>
      </c>
      <c r="G78">
        <f t="shared" si="10"/>
        <v>0.01</v>
      </c>
      <c r="H78" s="19">
        <f t="shared" si="11"/>
        <v>4.9161123285617822E-7</v>
      </c>
      <c r="I78" s="19">
        <f t="shared" si="12"/>
        <v>5.6021457189118354E-11</v>
      </c>
      <c r="J78" s="4">
        <f>(Volumes!B74+Volumes!C74)/1000*B78*(10^-6)/($J$2*D78)</f>
        <v>1.2392765332116001E-6</v>
      </c>
      <c r="K78" s="24">
        <f>(Volumes!B74/1000)*C78*E78*((Volumes!D74+Volumes!C74)/Volumes!C74/1000)</f>
        <v>2.4765055042080196E-10</v>
      </c>
      <c r="L78" s="19">
        <f>J78*(H78/1000*Volumes!B74)/(G78/1000*Volumes!B74)</f>
        <v>6.092422643418853E-11</v>
      </c>
      <c r="M78" s="19">
        <f>L78*(I78/1000*Volumes!B74)/(G78/1000*Volumes!B74)</f>
        <v>3.4130639429630458E-19</v>
      </c>
      <c r="N78" s="20">
        <f t="shared" si="13"/>
        <v>3.085747771962969E-10</v>
      </c>
      <c r="O78" s="20">
        <f>(N78+J78)*(1000/Volumes!D74)</f>
        <v>2.4791702159775928E-4</v>
      </c>
      <c r="P78" s="22">
        <f t="shared" si="14"/>
        <v>10.910580203495789</v>
      </c>
      <c r="Q78" s="5">
        <f t="shared" si="15"/>
        <v>2.9777313464106867</v>
      </c>
    </row>
    <row r="79" spans="1:17" ht="15" x14ac:dyDescent="0.2">
      <c r="A79" s="29" t="s">
        <v>166</v>
      </c>
      <c r="B79" s="49">
        <v>595</v>
      </c>
      <c r="C79">
        <f t="shared" si="8"/>
        <v>5.9500000000000004E-4</v>
      </c>
      <c r="D79">
        <v>308.14999999999998</v>
      </c>
      <c r="E79">
        <f t="shared" si="9"/>
        <v>2.6462895903596996E-2</v>
      </c>
      <c r="F79" s="1">
        <v>2</v>
      </c>
      <c r="G79">
        <f t="shared" si="10"/>
        <v>0.01</v>
      </c>
      <c r="H79" s="19">
        <f t="shared" si="11"/>
        <v>4.9161123285617822E-7</v>
      </c>
      <c r="I79" s="19">
        <f t="shared" si="12"/>
        <v>5.6021457189118354E-11</v>
      </c>
      <c r="J79" s="4">
        <f>(Volumes!B75+Volumes!C75)/1000*B79*(10^-6)/($J$2*D79)</f>
        <v>5.2002856285800547E-7</v>
      </c>
      <c r="K79" s="24">
        <f>(Volumes!B75/1000)*C79*E79*((Volumes!D75+Volumes!C75)/Volumes!C75/1000)</f>
        <v>1.039197922134254E-10</v>
      </c>
      <c r="L79" s="19">
        <f>J79*(H79/1000*Volumes!B75)/(G79/1000*Volumes!B75)</f>
        <v>2.5565188290705068E-11</v>
      </c>
      <c r="M79" s="19">
        <f>L79*(I79/1000*Volumes!B75)/(G79/1000*Volumes!B75)</f>
        <v>1.4321991013594836E-19</v>
      </c>
      <c r="N79" s="20">
        <f t="shared" si="13"/>
        <v>1.2948498064735039E-10</v>
      </c>
      <c r="O79" s="20">
        <f>(N79+J79)*(1000/Volumes!D75)</f>
        <v>1.0403160956773055E-4</v>
      </c>
      <c r="P79" s="22">
        <f t="shared" si="14"/>
        <v>4.5783271054662542</v>
      </c>
      <c r="Q79" s="5">
        <f t="shared" si="15"/>
        <v>1.2495236625180115</v>
      </c>
    </row>
    <row r="80" spans="1:17" ht="15" x14ac:dyDescent="0.2">
      <c r="A80" s="29" t="s">
        <v>167</v>
      </c>
      <c r="B80" s="49">
        <v>506</v>
      </c>
      <c r="C80">
        <f t="shared" si="8"/>
        <v>5.0600000000000005E-4</v>
      </c>
      <c r="D80">
        <v>308.14999999999998</v>
      </c>
      <c r="E80">
        <f t="shared" si="9"/>
        <v>2.6462895903596996E-2</v>
      </c>
      <c r="F80" s="1">
        <v>2</v>
      </c>
      <c r="G80">
        <f t="shared" si="10"/>
        <v>0.01</v>
      </c>
      <c r="H80" s="19">
        <f t="shared" si="11"/>
        <v>4.9161123285617822E-7</v>
      </c>
      <c r="I80" s="19">
        <f t="shared" si="12"/>
        <v>5.6021457189118354E-11</v>
      </c>
      <c r="J80" s="4">
        <f>(Volumes!B76+Volumes!C76)/1000*B80*(10^-6)/($J$2*D80)</f>
        <v>4.4224277782546345E-7</v>
      </c>
      <c r="K80" s="24">
        <f>(Volumes!B76/1000)*C80*E80*((Volumes!D76+Volumes!C76)/Volumes!C76/1000)</f>
        <v>8.8375487159652536E-11</v>
      </c>
      <c r="L80" s="19">
        <f>J80*(H80/1000*Volumes!B76)/(G80/1000*Volumes!B76)</f>
        <v>2.1741151722851704E-11</v>
      </c>
      <c r="M80" s="19">
        <f>L80*(I80/1000*Volumes!B76)/(G80/1000*Volumes!B76)</f>
        <v>1.2179710004838634E-19</v>
      </c>
      <c r="N80" s="20">
        <f t="shared" si="13"/>
        <v>1.1011663900430133E-10</v>
      </c>
      <c r="O80" s="20">
        <f>(N80+J80)*(1000/Volumes!D76)</f>
        <v>8.8470578892893553E-5</v>
      </c>
      <c r="P80" s="22">
        <f t="shared" si="14"/>
        <v>3.8935017064973527</v>
      </c>
      <c r="Q80" s="5">
        <f t="shared" si="15"/>
        <v>1.0626201230825445</v>
      </c>
    </row>
    <row r="81" spans="1:17" ht="15" x14ac:dyDescent="0.2">
      <c r="A81" s="29" t="s">
        <v>168</v>
      </c>
      <c r="B81" s="49">
        <v>659.18926820098704</v>
      </c>
      <c r="C81">
        <f t="shared" si="8"/>
        <v>6.5918926820098705E-4</v>
      </c>
      <c r="D81">
        <v>308.14999999999998</v>
      </c>
      <c r="E81">
        <f t="shared" si="9"/>
        <v>2.6462895903596996E-2</v>
      </c>
      <c r="F81" s="1">
        <v>2</v>
      </c>
      <c r="G81">
        <f t="shared" si="10"/>
        <v>0.01</v>
      </c>
      <c r="H81" s="19">
        <f t="shared" si="11"/>
        <v>4.9161123285617822E-7</v>
      </c>
      <c r="I81" s="19">
        <f t="shared" si="12"/>
        <v>5.6021457189118354E-11</v>
      </c>
      <c r="J81" s="4">
        <f>(Volumes!B77+Volumes!C77)/1000*B81*(10^-6)/($J$2*D81)</f>
        <v>5.7612982822517584E-7</v>
      </c>
      <c r="K81" s="24">
        <f>(Volumes!B77/1000)*C81*E81*((Volumes!D77+Volumes!C77)/Volumes!C77/1000)</f>
        <v>1.1513077610212861E-10</v>
      </c>
      <c r="L81" s="19">
        <f>J81*(H81/1000*Volumes!B77)/(G81/1000*Volumes!B77)</f>
        <v>2.8323189513899693E-11</v>
      </c>
      <c r="M81" s="19">
        <f>L81*(I81/1000*Volumes!B77)/(G81/1000*Volumes!B77)</f>
        <v>1.5867063488122176E-19</v>
      </c>
      <c r="N81" s="20">
        <f t="shared" si="13"/>
        <v>1.4345396577469894E-10</v>
      </c>
      <c r="O81" s="20">
        <f>(N81+J81)*(1000/Volumes!D77)</f>
        <v>1.1525465643819011E-4</v>
      </c>
      <c r="P81" s="22">
        <f t="shared" si="14"/>
        <v>5.0722421751883084</v>
      </c>
      <c r="Q81" s="5">
        <f t="shared" si="15"/>
        <v>1.3843236784791013</v>
      </c>
    </row>
    <row r="82" spans="1:17" ht="15" x14ac:dyDescent="0.2">
      <c r="A82" s="29" t="s">
        <v>169</v>
      </c>
      <c r="B82" s="49">
        <v>764.77497975346205</v>
      </c>
      <c r="C82">
        <f t="shared" si="8"/>
        <v>7.6477497975346203E-4</v>
      </c>
      <c r="D82">
        <v>308.14999999999998</v>
      </c>
      <c r="E82">
        <f t="shared" si="9"/>
        <v>2.6462895903596996E-2</v>
      </c>
      <c r="F82" s="1">
        <v>2</v>
      </c>
      <c r="G82">
        <f t="shared" si="10"/>
        <v>0.01</v>
      </c>
      <c r="H82" s="19">
        <f t="shared" si="11"/>
        <v>4.9161123285617822E-7</v>
      </c>
      <c r="I82" s="19">
        <f t="shared" si="12"/>
        <v>5.6021457189118354E-11</v>
      </c>
      <c r="J82" s="4">
        <f>(Volumes!B78+Volumes!C78)/1000*B82*(10^-6)/($J$2*D82)</f>
        <v>6.6841148509403874E-7</v>
      </c>
      <c r="K82" s="24">
        <f>(Volumes!B78/1000)*C82*E82*((Volumes!D78+Volumes!C78)/Volumes!C78/1000)</f>
        <v>1.33571860480683E-10</v>
      </c>
      <c r="L82" s="19">
        <f>J82*(H82/1000*Volumes!B78)/(G82/1000*Volumes!B78)</f>
        <v>3.2859859424230944E-11</v>
      </c>
      <c r="M82" s="19">
        <f>L82*(I82/1000*Volumes!B78)/(G82/1000*Volumes!B78)</f>
        <v>1.8408572079750009E-19</v>
      </c>
      <c r="N82" s="20">
        <f t="shared" si="13"/>
        <v>1.6643172008899967E-10</v>
      </c>
      <c r="O82" s="20">
        <f>(N82+J82)*(1000/Volumes!D78)</f>
        <v>1.3371558336282554E-4</v>
      </c>
      <c r="P82" s="22">
        <f t="shared" si="14"/>
        <v>5.8846891082145891</v>
      </c>
      <c r="Q82" s="5">
        <f t="shared" si="15"/>
        <v>1.6060578717708975</v>
      </c>
    </row>
    <row r="83" spans="1:17" ht="15" x14ac:dyDescent="0.2">
      <c r="A83" s="29" t="s">
        <v>170</v>
      </c>
      <c r="B83" s="49">
        <v>1115.4383337223701</v>
      </c>
      <c r="C83">
        <f t="shared" si="8"/>
        <v>1.1154383337223701E-3</v>
      </c>
      <c r="D83">
        <v>308.14999999999998</v>
      </c>
      <c r="E83">
        <f t="shared" si="9"/>
        <v>2.6462895903596996E-2</v>
      </c>
      <c r="F83" s="1">
        <v>2</v>
      </c>
      <c r="G83">
        <f t="shared" si="10"/>
        <v>0.01</v>
      </c>
      <c r="H83" s="19">
        <f t="shared" si="11"/>
        <v>4.9161123285617822E-7</v>
      </c>
      <c r="I83" s="19">
        <f t="shared" si="12"/>
        <v>5.6021457189118354E-11</v>
      </c>
      <c r="J83" s="4">
        <f>(Volumes!B79+Volumes!C79)/1000*B83*(10^-6)/($J$2*D83)</f>
        <v>9.7489040948297863E-7</v>
      </c>
      <c r="K83" s="24">
        <f>(Volumes!B79/1000)*C83*E83*((Volumes!D79+Volumes!C79)/Volumes!C79/1000)</f>
        <v>1.9481700818036667E-10</v>
      </c>
      <c r="L83" s="19">
        <f>J83*(H83/1000*Volumes!B79)/(G83/1000*Volumes!B79)</f>
        <v>4.7926707610559156E-11</v>
      </c>
      <c r="M83" s="19">
        <f>L83*(I83/1000*Volumes!B79)/(G83/1000*Volumes!B79)</f>
        <v>2.6849239986203324E-19</v>
      </c>
      <c r="N83" s="20">
        <f t="shared" si="13"/>
        <v>2.4274371605941822E-10</v>
      </c>
      <c r="O83" s="20">
        <f>(N83+J83)*(1000/Volumes!D79)</f>
        <v>1.950266306398076E-4</v>
      </c>
      <c r="P83" s="22">
        <f t="shared" si="14"/>
        <v>8.5829269878272925</v>
      </c>
      <c r="Q83" s="5">
        <f t="shared" si="15"/>
        <v>2.3424648606147289</v>
      </c>
    </row>
    <row r="84" spans="1:17" ht="15" x14ac:dyDescent="0.2">
      <c r="A84" s="29" t="s">
        <v>171</v>
      </c>
      <c r="B84" s="49">
        <v>579</v>
      </c>
      <c r="C84">
        <f t="shared" si="8"/>
        <v>5.7899999999999998E-4</v>
      </c>
      <c r="D84">
        <v>308.14999999999998</v>
      </c>
      <c r="E84">
        <f t="shared" si="9"/>
        <v>2.6462895903596996E-2</v>
      </c>
      <c r="F84" s="1">
        <v>2</v>
      </c>
      <c r="G84">
        <f t="shared" si="10"/>
        <v>0.01</v>
      </c>
      <c r="H84" s="19">
        <f t="shared" si="11"/>
        <v>4.9161123285617822E-7</v>
      </c>
      <c r="I84" s="19">
        <f t="shared" si="12"/>
        <v>5.6021457189118354E-11</v>
      </c>
      <c r="J84" s="4">
        <f>(Volumes!B80+Volumes!C80)/1000*B84*(10^-6)/($J$2*D84)</f>
        <v>5.0604460150384062E-7</v>
      </c>
      <c r="K84" s="24">
        <f>(Volumes!B80/1000)*C84*E84*((Volumes!D80+Volumes!C80)/Volumes!C80/1000)</f>
        <v>1.0112531040600556E-10</v>
      </c>
      <c r="L84" s="19">
        <f>J84*(H84/1000*Volumes!B80)/(G84/1000*Volumes!B80)</f>
        <v>2.4877721042551652E-11</v>
      </c>
      <c r="M84" s="19">
        <f>L84*(I84/1000*Volumes!B80)/(G84/1000*Volumes!B80)</f>
        <v>1.3936861843481363E-19</v>
      </c>
      <c r="N84" s="20">
        <f t="shared" si="13"/>
        <v>1.2600303158792584E-10</v>
      </c>
      <c r="O84" s="20">
        <f>(N84+J84)*(1000/Volumes!D80)</f>
        <v>1.0123412090708572E-4</v>
      </c>
      <c r="P84" s="22">
        <f t="shared" si="14"/>
        <v>4.4552124269999354</v>
      </c>
      <c r="Q84" s="5">
        <f t="shared" si="15"/>
        <v>1.2159230262150065</v>
      </c>
    </row>
    <row r="85" spans="1:17" ht="15" x14ac:dyDescent="0.2">
      <c r="A85" s="29" t="s">
        <v>172</v>
      </c>
      <c r="B85" s="49">
        <v>844.61925555285097</v>
      </c>
      <c r="C85">
        <f t="shared" si="8"/>
        <v>8.4461925555285092E-4</v>
      </c>
      <c r="D85">
        <v>308.14999999999998</v>
      </c>
      <c r="E85">
        <f t="shared" si="9"/>
        <v>2.6462895903596996E-2</v>
      </c>
      <c r="F85" s="1">
        <v>2</v>
      </c>
      <c r="G85">
        <f t="shared" si="10"/>
        <v>0.01</v>
      </c>
      <c r="H85" s="19">
        <f t="shared" si="11"/>
        <v>4.9161123285617822E-7</v>
      </c>
      <c r="I85" s="19">
        <f t="shared" si="12"/>
        <v>5.6021457189118354E-11</v>
      </c>
      <c r="J85" s="4">
        <f>(Volumes!B81+Volumes!C81)/1000*B85*(10^-6)/($J$2*D85)</f>
        <v>7.3819518928965975E-7</v>
      </c>
      <c r="K85" s="24">
        <f>(Volumes!B81/1000)*C85*E85*((Volumes!D81+Volumes!C81)/Volumes!C81/1000)</f>
        <v>1.4751707148993331E-10</v>
      </c>
      <c r="L85" s="19">
        <f>J85*(H85/1000*Volumes!B81)/(G85/1000*Volumes!B81)</f>
        <v>3.6290504709518957E-11</v>
      </c>
      <c r="M85" s="19">
        <f>L85*(I85/1000*Volumes!B81)/(G85/1000*Volumes!B81)</f>
        <v>2.0330469559558143E-19</v>
      </c>
      <c r="N85" s="20">
        <f t="shared" si="13"/>
        <v>1.8380757640275696E-10</v>
      </c>
      <c r="O85" s="20">
        <f>(N85+J85)*(1000/Volumes!D81)</f>
        <v>1.4767579937321251E-4</v>
      </c>
      <c r="P85" s="22">
        <f t="shared" si="14"/>
        <v>6.4990642546157096</v>
      </c>
      <c r="Q85" s="5">
        <f t="shared" si="15"/>
        <v>1.7737340262716554</v>
      </c>
    </row>
    <row r="86" spans="1:17" ht="15" x14ac:dyDescent="0.2">
      <c r="A86" s="29" t="s">
        <v>173</v>
      </c>
      <c r="B86" s="49">
        <v>1027</v>
      </c>
      <c r="C86">
        <f t="shared" si="8"/>
        <v>1.0269999999999999E-3</v>
      </c>
      <c r="D86">
        <v>308.14999999999998</v>
      </c>
      <c r="E86">
        <f t="shared" si="9"/>
        <v>2.6462895903596996E-2</v>
      </c>
      <c r="F86" s="1">
        <v>2</v>
      </c>
      <c r="G86">
        <f t="shared" si="10"/>
        <v>0.01</v>
      </c>
      <c r="H86" s="19">
        <f t="shared" si="11"/>
        <v>4.9161123285617822E-7</v>
      </c>
      <c r="I86" s="19">
        <f t="shared" si="12"/>
        <v>5.6021457189118354E-11</v>
      </c>
      <c r="J86" s="4">
        <f>(Volumes!B82+Volumes!C82)/1000*B86*(10^-6)/($J$2*D86)</f>
        <v>8.975955194204564E-7</v>
      </c>
      <c r="K86" s="24">
        <f>(Volumes!B82/1000)*C86*E86*((Volumes!D82+Volumes!C82)/Volumes!C82/1000)</f>
        <v>1.7937080101376115E-10</v>
      </c>
      <c r="L86" s="19">
        <f>J86*(H86/1000*Volumes!B82)/(G86/1000*Volumes!B82)</f>
        <v>4.4126803990847224E-11</v>
      </c>
      <c r="M86" s="19">
        <f>L86*(I86/1000*Volumes!B82)/(G86/1000*Volumes!B82)</f>
        <v>2.4720478606658646E-19</v>
      </c>
      <c r="N86" s="20">
        <f t="shared" si="13"/>
        <v>2.2349760525181315E-10</v>
      </c>
      <c r="O86" s="20">
        <f>(N86+J86)*(1000/Volumes!D82)</f>
        <v>1.7956380340514166E-4</v>
      </c>
      <c r="P86" s="22">
        <f t="shared" si="14"/>
        <v>7.90242342405688</v>
      </c>
      <c r="Q86" s="5">
        <f t="shared" si="15"/>
        <v>2.1567408426991563</v>
      </c>
    </row>
    <row r="87" spans="1:17" ht="15" x14ac:dyDescent="0.2">
      <c r="A87" s="29" t="s">
        <v>174</v>
      </c>
      <c r="B87" s="49">
        <v>755.37489995815702</v>
      </c>
      <c r="C87">
        <f t="shared" si="8"/>
        <v>7.55374899958157E-4</v>
      </c>
      <c r="D87">
        <v>308.14999999999998</v>
      </c>
      <c r="E87">
        <f t="shared" si="9"/>
        <v>2.6462895903596996E-2</v>
      </c>
      <c r="F87" s="1">
        <v>2</v>
      </c>
      <c r="G87">
        <f t="shared" si="10"/>
        <v>0.01</v>
      </c>
      <c r="H87" s="19">
        <f t="shared" si="11"/>
        <v>4.9161123285617822E-7</v>
      </c>
      <c r="I87" s="19">
        <f t="shared" si="12"/>
        <v>5.6021457189118354E-11</v>
      </c>
      <c r="J87" s="4">
        <f>(Volumes!B83+Volumes!C83)/1000*B87*(10^-6)/($J$2*D87)</f>
        <v>6.6019583805756307E-7</v>
      </c>
      <c r="K87" s="24">
        <f>(Volumes!B83/1000)*C87*E87*((Volumes!D83+Volumes!C83)/Volumes!C83/1000)</f>
        <v>1.3193008848216586E-10</v>
      </c>
      <c r="L87" s="19">
        <f>J87*(H87/1000*Volumes!B83)/(G87/1000*Volumes!B83)</f>
        <v>3.2455968987399638E-11</v>
      </c>
      <c r="M87" s="19">
        <f>L87*(I87/1000*Volumes!B83)/(G87/1000*Volumes!B83)</f>
        <v>1.8182306771589619E-19</v>
      </c>
      <c r="N87" s="20">
        <f t="shared" si="13"/>
        <v>1.6438605765138856E-10</v>
      </c>
      <c r="O87" s="20">
        <f>(N87+J87)*(1000/Volumes!D83)</f>
        <v>1.3207204482304291E-4</v>
      </c>
      <c r="P87" s="22">
        <f t="shared" si="14"/>
        <v>5.8123586206172959</v>
      </c>
      <c r="Q87" s="5">
        <f t="shared" si="15"/>
        <v>1.5863173303695683</v>
      </c>
    </row>
    <row r="88" spans="1:17" ht="15" x14ac:dyDescent="0.2">
      <c r="A88" s="29" t="s">
        <v>175</v>
      </c>
      <c r="B88" s="49">
        <v>642</v>
      </c>
      <c r="C88">
        <f t="shared" si="8"/>
        <v>6.4199999999999999E-4</v>
      </c>
      <c r="D88">
        <v>308.14999999999998</v>
      </c>
      <c r="E88">
        <f t="shared" si="9"/>
        <v>2.6462895903596996E-2</v>
      </c>
      <c r="F88" s="1">
        <v>2</v>
      </c>
      <c r="G88">
        <f t="shared" si="10"/>
        <v>0.01</v>
      </c>
      <c r="H88" s="19">
        <f t="shared" si="11"/>
        <v>4.9161123285617822E-7</v>
      </c>
      <c r="I88" s="19">
        <f t="shared" si="12"/>
        <v>5.6021457189118354E-11</v>
      </c>
      <c r="J88" s="4">
        <f>(Volumes!B84+Volumes!C84)/1000*B88*(10^-6)/($J$2*D88)</f>
        <v>5.6110644933586467E-7</v>
      </c>
      <c r="K88" s="24">
        <f>(Volumes!B84/1000)*C88*E88*((Volumes!D84+Volumes!C84)/Volumes!C84/1000)</f>
        <v>1.1212858252272118E-10</v>
      </c>
      <c r="L88" s="19">
        <f>J88*(H88/1000*Volumes!B84)/(G88/1000*Volumes!B84)</f>
        <v>2.7584623332155716E-11</v>
      </c>
      <c r="M88" s="19">
        <f>L88*(I88/1000*Volumes!B84)/(G88/1000*Volumes!B84)</f>
        <v>1.5453307950803168E-19</v>
      </c>
      <c r="N88" s="20">
        <f t="shared" si="13"/>
        <v>1.3971320600940996E-10</v>
      </c>
      <c r="O88" s="20">
        <f>(N88+J88)*(1000/Volumes!D84)</f>
        <v>1.1224923250837481E-4</v>
      </c>
      <c r="P88" s="22">
        <f t="shared" si="14"/>
        <v>4.9399764734610665</v>
      </c>
      <c r="Q88" s="5">
        <f t="shared" si="15"/>
        <v>1.3482255316580896</v>
      </c>
    </row>
    <row r="89" spans="1:17" ht="15" x14ac:dyDescent="0.2">
      <c r="A89" s="29" t="s">
        <v>176</v>
      </c>
      <c r="B89" s="49">
        <v>729.24532480820005</v>
      </c>
      <c r="C89">
        <f t="shared" si="8"/>
        <v>7.2924532480820009E-4</v>
      </c>
      <c r="D89">
        <v>308.14999999999998</v>
      </c>
      <c r="E89">
        <f t="shared" si="9"/>
        <v>2.6462895903596996E-2</v>
      </c>
      <c r="F89" s="1">
        <v>2</v>
      </c>
      <c r="G89">
        <f t="shared" si="10"/>
        <v>0.01</v>
      </c>
      <c r="H89" s="19">
        <f t="shared" si="11"/>
        <v>4.9161123285617822E-7</v>
      </c>
      <c r="I89" s="19">
        <f t="shared" si="12"/>
        <v>5.6021457189118354E-11</v>
      </c>
      <c r="J89" s="4">
        <f>(Volumes!B85+Volumes!C85)/1000*B89*(10^-6)/($J$2*D89)</f>
        <v>6.3735865248895397E-7</v>
      </c>
      <c r="K89" s="24">
        <f>(Volumes!B85/1000)*C89*E89*((Volumes!D85+Volumes!C85)/Volumes!C85/1000)</f>
        <v>1.2736642458265558E-10</v>
      </c>
      <c r="L89" s="19">
        <f>J89*(H89/1000*Volumes!B85)/(G89/1000*Volumes!B85)</f>
        <v>3.1333267292164718E-11</v>
      </c>
      <c r="M89" s="19">
        <f>L89*(I89/1000*Volumes!B85)/(G89/1000*Volumes!B85)</f>
        <v>1.7553352922032081E-19</v>
      </c>
      <c r="N89" s="20">
        <f t="shared" si="13"/>
        <v>1.5869969205035385E-10</v>
      </c>
      <c r="O89" s="20">
        <f>(N89+J89)*(1000/Volumes!D85)</f>
        <v>1.2750347043620087E-4</v>
      </c>
      <c r="P89" s="22">
        <f t="shared" si="14"/>
        <v>5.6113002304267638</v>
      </c>
      <c r="Q89" s="5">
        <f t="shared" si="15"/>
        <v>1.5314441834092085</v>
      </c>
    </row>
    <row r="90" spans="1:17" ht="15" x14ac:dyDescent="0.2">
      <c r="A90" s="29" t="s">
        <v>177</v>
      </c>
      <c r="B90" s="49">
        <v>1042</v>
      </c>
      <c r="C90">
        <f t="shared" si="8"/>
        <v>1.042E-3</v>
      </c>
      <c r="D90">
        <v>308.14999999999998</v>
      </c>
      <c r="E90">
        <f t="shared" si="9"/>
        <v>2.6462895903596996E-2</v>
      </c>
      <c r="F90" s="1">
        <v>2</v>
      </c>
      <c r="G90">
        <f t="shared" si="10"/>
        <v>0.01</v>
      </c>
      <c r="H90" s="19">
        <f t="shared" si="11"/>
        <v>4.9161123285617822E-7</v>
      </c>
      <c r="I90" s="19">
        <f t="shared" si="12"/>
        <v>5.6021457189118354E-11</v>
      </c>
      <c r="J90" s="4">
        <f>(Volumes!B86+Volumes!C86)/1000*B90*(10^-6)/($J$2*D90)</f>
        <v>9.10705483189986E-7</v>
      </c>
      <c r="K90" s="24">
        <f>(Volumes!B86/1000)*C90*E90*((Volumes!D86+Volumes!C86)/Volumes!C86/1000)</f>
        <v>1.8199062770821724E-10</v>
      </c>
      <c r="L90" s="19">
        <f>J90*(H90/1000*Volumes!B86)/(G90/1000*Volumes!B86)</f>
        <v>4.4771304535991059E-11</v>
      </c>
      <c r="M90" s="19">
        <f>L90*(I90/1000*Volumes!B86)/(G90/1000*Volumes!B86)</f>
        <v>2.5081537203640033E-19</v>
      </c>
      <c r="N90" s="20">
        <f t="shared" si="13"/>
        <v>2.2676193249502368E-10</v>
      </c>
      <c r="O90" s="20">
        <f>(N90+J90)*(1000/Volumes!D86)</f>
        <v>1.8218644902449619E-4</v>
      </c>
      <c r="P90" s="22">
        <f t="shared" si="14"/>
        <v>8.0178434351190546</v>
      </c>
      <c r="Q90" s="5">
        <f t="shared" si="15"/>
        <v>2.1882414392332241</v>
      </c>
    </row>
    <row r="91" spans="1:17" ht="15" x14ac:dyDescent="0.2">
      <c r="A91" s="29" t="s">
        <v>178</v>
      </c>
      <c r="B91" s="49">
        <v>618.15283199769397</v>
      </c>
      <c r="C91">
        <f t="shared" si="8"/>
        <v>6.1815283199769401E-4</v>
      </c>
      <c r="D91">
        <v>308.14999999999998</v>
      </c>
      <c r="E91">
        <f t="shared" si="9"/>
        <v>2.6462895903596996E-2</v>
      </c>
      <c r="F91" s="1">
        <v>2</v>
      </c>
      <c r="G91">
        <f t="shared" si="10"/>
        <v>0.01</v>
      </c>
      <c r="H91" s="19">
        <f t="shared" si="11"/>
        <v>4.9161123285617822E-7</v>
      </c>
      <c r="I91" s="19">
        <f t="shared" si="12"/>
        <v>5.6021457189118354E-11</v>
      </c>
      <c r="J91" s="4">
        <f>(Volumes!B87+Volumes!C87)/1000*B91*(10^-6)/($J$2*D91)</f>
        <v>5.4026408210145695E-7</v>
      </c>
      <c r="K91" s="24">
        <f>(Volumes!B87/1000)*C91*E91*((Volumes!D87+Volumes!C87)/Volumes!C87/1000)</f>
        <v>1.0796355270141314E-10</v>
      </c>
      <c r="L91" s="19">
        <f>J91*(H91/1000*Volumes!B87)/(G91/1000*Volumes!B87)</f>
        <v>2.655998914698088E-11</v>
      </c>
      <c r="M91" s="19">
        <f>L91*(I91/1000*Volumes!B87)/(G91/1000*Volumes!B87)</f>
        <v>1.4879292949410373E-19</v>
      </c>
      <c r="N91" s="20">
        <f t="shared" si="13"/>
        <v>1.3452354199718697E-10</v>
      </c>
      <c r="O91" s="20">
        <f>(N91+J91)*(1000/Volumes!D87)</f>
        <v>1.0807972112869083E-4</v>
      </c>
      <c r="P91" s="22">
        <f t="shared" si="14"/>
        <v>4.7564804471525548</v>
      </c>
      <c r="Q91" s="5">
        <f t="shared" si="15"/>
        <v>1.2981455304767053</v>
      </c>
    </row>
    <row r="92" spans="1:17" ht="15" x14ac:dyDescent="0.2">
      <c r="A92" s="29" t="s">
        <v>179</v>
      </c>
      <c r="B92" s="49">
        <v>1019.03087093967</v>
      </c>
      <c r="C92">
        <f t="shared" si="8"/>
        <v>1.01903087093967E-3</v>
      </c>
      <c r="D92">
        <v>308.14999999999998</v>
      </c>
      <c r="E92">
        <f t="shared" si="9"/>
        <v>2.6462895903596996E-2</v>
      </c>
      <c r="F92" s="1">
        <v>2</v>
      </c>
      <c r="G92">
        <f t="shared" si="10"/>
        <v>0.01</v>
      </c>
      <c r="H92" s="19">
        <f t="shared" si="11"/>
        <v>4.9161123285617822E-7</v>
      </c>
      <c r="I92" s="19">
        <f t="shared" si="12"/>
        <v>5.6021457189118354E-11</v>
      </c>
      <c r="J92" s="4">
        <f>(Volumes!B88+Volumes!C88)/1000*B92*(10^-6)/($J$2*D92)</f>
        <v>8.9063051987008088E-7</v>
      </c>
      <c r="K92" s="24">
        <f>(Volumes!B88/1000)*C92*E92*((Volumes!D88+Volumes!C88)/Volumes!C88/1000)</f>
        <v>1.779789518775066E-10</v>
      </c>
      <c r="L92" s="19">
        <f>J92*(H92/1000*Volumes!B88)/(G92/1000*Volumes!B88)</f>
        <v>4.3784396789266945E-11</v>
      </c>
      <c r="M92" s="19">
        <f>L92*(I92/1000*Volumes!B88)/(G92/1000*Volumes!B88)</f>
        <v>2.4528657102812894E-19</v>
      </c>
      <c r="N92" s="20">
        <f t="shared" si="13"/>
        <v>2.2176334891206013E-10</v>
      </c>
      <c r="O92" s="20">
        <f>(N92+J92)*(1000/Volumes!D88)</f>
        <v>1.7817045664379858E-4</v>
      </c>
      <c r="P92" s="22">
        <f t="shared" si="14"/>
        <v>7.841103626436932</v>
      </c>
      <c r="Q92" s="5">
        <f t="shared" si="15"/>
        <v>2.1400053547486646</v>
      </c>
    </row>
    <row r="93" spans="1:17" ht="15" x14ac:dyDescent="0.2">
      <c r="A93" s="29" t="s">
        <v>180</v>
      </c>
      <c r="B93" s="49">
        <v>904</v>
      </c>
      <c r="C93">
        <f t="shared" si="8"/>
        <v>9.0399999999999996E-4</v>
      </c>
      <c r="D93">
        <v>308.14999999999998</v>
      </c>
      <c r="E93">
        <f t="shared" si="9"/>
        <v>2.6462895903596996E-2</v>
      </c>
      <c r="F93" s="1">
        <v>2</v>
      </c>
      <c r="G93">
        <f t="shared" si="10"/>
        <v>0.01</v>
      </c>
      <c r="H93" s="19">
        <f t="shared" si="11"/>
        <v>4.9161123285617822E-7</v>
      </c>
      <c r="I93" s="19">
        <f t="shared" si="12"/>
        <v>5.6021457189118354E-11</v>
      </c>
      <c r="J93" s="4">
        <f>(Volumes!B89+Volumes!C89)/1000*B93*(10^-6)/($J$2*D93)</f>
        <v>7.9009381651031403E-7</v>
      </c>
      <c r="K93" s="24">
        <f>(Volumes!B89/1000)*C93*E93*((Volumes!D89+Volumes!C89)/Volumes!C89/1000)</f>
        <v>1.5788822211922111E-10</v>
      </c>
      <c r="L93" s="19">
        <f>J93*(H93/1000*Volumes!B89)/(G93/1000*Volumes!B89)</f>
        <v>3.8841899520667857E-11</v>
      </c>
      <c r="M93" s="19">
        <f>L93*(I93/1000*Volumes!B89)/(G93/1000*Volumes!B89)</f>
        <v>2.1759798111411311E-19</v>
      </c>
      <c r="N93" s="20">
        <f t="shared" si="13"/>
        <v>1.9673012185748695E-10</v>
      </c>
      <c r="O93" s="20">
        <f>(N93+J93)*(1000/Volumes!D89)</f>
        <v>1.5805810932643431E-4</v>
      </c>
      <c r="P93" s="22">
        <f t="shared" si="14"/>
        <v>6.955979333347047</v>
      </c>
      <c r="Q93" s="5">
        <f t="shared" si="15"/>
        <v>1.8984359511198023</v>
      </c>
    </row>
    <row r="94" spans="1:17" ht="15" x14ac:dyDescent="0.2">
      <c r="A94" s="29" t="s">
        <v>181</v>
      </c>
      <c r="B94" s="49">
        <v>751.15044806719504</v>
      </c>
      <c r="C94">
        <f t="shared" si="8"/>
        <v>7.5115044806719502E-4</v>
      </c>
      <c r="D94">
        <v>308.14999999999998</v>
      </c>
      <c r="E94">
        <f t="shared" si="9"/>
        <v>2.6462895903596996E-2</v>
      </c>
      <c r="F94" s="1">
        <v>2</v>
      </c>
      <c r="G94">
        <f t="shared" si="10"/>
        <v>0.01</v>
      </c>
      <c r="H94" s="19">
        <f t="shared" si="11"/>
        <v>4.9161123285617822E-7</v>
      </c>
      <c r="I94" s="19">
        <f t="shared" si="12"/>
        <v>5.6021457189118354E-11</v>
      </c>
      <c r="J94" s="4">
        <f>(Volumes!B90+Volumes!C90)/1000*B94*(10^-6)/($J$2*D94)</f>
        <v>6.5650367730845433E-7</v>
      </c>
      <c r="K94" s="24">
        <f>(Volumes!B90/1000)*C94*E94*((Volumes!D90+Volumes!C90)/Volumes!C90/1000)</f>
        <v>1.3119226635994001E-10</v>
      </c>
      <c r="L94" s="19">
        <f>J94*(H94/1000*Volumes!B90)/(G94/1000*Volumes!B90)</f>
        <v>3.2274458217622382E-11</v>
      </c>
      <c r="M94" s="19">
        <f>L94*(I94/1000*Volumes!B90)/(G94/1000*Volumes!B90)</f>
        <v>1.8080621793405215E-19</v>
      </c>
      <c r="N94" s="20">
        <f t="shared" si="13"/>
        <v>1.6346672475836862E-10</v>
      </c>
      <c r="O94" s="20">
        <f>(N94+J94)*(1000/Volumes!D90)</f>
        <v>1.3133342880664254E-4</v>
      </c>
      <c r="P94" s="22">
        <f t="shared" si="14"/>
        <v>5.7798528683515311</v>
      </c>
      <c r="Q94" s="5">
        <f t="shared" si="15"/>
        <v>1.5774458133965834</v>
      </c>
    </row>
    <row r="95" spans="1:17" ht="15" x14ac:dyDescent="0.2">
      <c r="A95" s="29" t="s">
        <v>174</v>
      </c>
      <c r="B95" s="49">
        <v>930.93815609161595</v>
      </c>
      <c r="C95">
        <f t="shared" si="8"/>
        <v>9.3093815609161595E-4</v>
      </c>
      <c r="D95">
        <v>308.14999999999998</v>
      </c>
      <c r="E95">
        <f t="shared" si="9"/>
        <v>2.6462895903596996E-2</v>
      </c>
      <c r="F95" s="1">
        <v>2</v>
      </c>
      <c r="G95">
        <f t="shared" si="10"/>
        <v>0.01</v>
      </c>
      <c r="H95" s="19">
        <f t="shared" si="11"/>
        <v>4.9161123285617822E-7</v>
      </c>
      <c r="I95" s="19">
        <f t="shared" si="12"/>
        <v>5.6021457189118354E-11</v>
      </c>
      <c r="J95" s="4">
        <f>(Volumes!B91+Volumes!C91)/1000*B95*(10^-6)/($J$2*D95)</f>
        <v>8.1363769986891519E-7</v>
      </c>
      <c r="K95" s="24">
        <f>(Volumes!B91/1000)*C95*E95*((Volumes!D91+Volumes!C91)/Volumes!C91/1000)</f>
        <v>1.6259310881443719E-10</v>
      </c>
      <c r="L95" s="19">
        <f>J95*(H95/1000*Volumes!B91)/(G95/1000*Volumes!B91)</f>
        <v>3.9999343273082253E-11</v>
      </c>
      <c r="M95" s="19">
        <f>L95*(I95/1000*Volumes!B91)/(G95/1000*Volumes!B91)</f>
        <v>2.2408214967658267E-19</v>
      </c>
      <c r="N95" s="20">
        <f t="shared" si="13"/>
        <v>2.0259245231160159E-10</v>
      </c>
      <c r="O95" s="20">
        <f>(N95+J95)*(1000/Volumes!D91)</f>
        <v>1.6276805846424534E-4</v>
      </c>
      <c r="P95" s="22">
        <f t="shared" si="14"/>
        <v>7.1632594849529729</v>
      </c>
      <c r="Q95" s="5">
        <f t="shared" si="15"/>
        <v>1.9550071502140505</v>
      </c>
    </row>
    <row r="96" spans="1:17" ht="15" x14ac:dyDescent="0.2">
      <c r="A96" s="29" t="s">
        <v>182</v>
      </c>
      <c r="B96" s="49">
        <v>1384.65316040981</v>
      </c>
      <c r="C96">
        <f t="shared" si="8"/>
        <v>1.38465316040981E-3</v>
      </c>
      <c r="D96">
        <v>308.14999999999998</v>
      </c>
      <c r="E96">
        <f t="shared" si="9"/>
        <v>2.6462895903596996E-2</v>
      </c>
      <c r="F96" s="1">
        <v>2</v>
      </c>
      <c r="G96">
        <f t="shared" si="10"/>
        <v>0.01</v>
      </c>
      <c r="H96" s="19">
        <f t="shared" si="11"/>
        <v>4.9161123285617822E-7</v>
      </c>
      <c r="I96" s="19">
        <f t="shared" si="12"/>
        <v>5.6021457189118354E-11</v>
      </c>
      <c r="J96" s="4">
        <f>(Volumes!B92+Volumes!C92)/1000*B96*(10^-6)/($J$2*D96)</f>
        <v>1.2101835177558129E-6</v>
      </c>
      <c r="K96" s="24">
        <f>(Volumes!B92/1000)*C96*E96*((Volumes!D92+Volumes!C92)/Volumes!C92/1000)</f>
        <v>2.418367541469752E-10</v>
      </c>
      <c r="L96" s="19">
        <f>J96*(H96/1000*Volumes!B92)/(G96/1000*Volumes!B92)</f>
        <v>5.9493981114616185E-11</v>
      </c>
      <c r="M96" s="19">
        <f>L96*(I96/1000*Volumes!B92)/(G96/1000*Volumes!B92)</f>
        <v>3.3329395160226867E-19</v>
      </c>
      <c r="N96" s="20">
        <f t="shared" si="13"/>
        <v>3.0133073559488534E-10</v>
      </c>
      <c r="O96" s="20">
        <f>(N96+J96)*(1000/Volumes!D92)</f>
        <v>2.4209696969828157E-4</v>
      </c>
      <c r="P96" s="22">
        <f t="shared" si="14"/>
        <v>10.654445539451675</v>
      </c>
      <c r="Q96" s="5">
        <f t="shared" si="15"/>
        <v>2.9078267030460601</v>
      </c>
    </row>
    <row r="97" spans="1:17" ht="15" x14ac:dyDescent="0.2">
      <c r="A97" s="29" t="s">
        <v>183</v>
      </c>
      <c r="B97" s="49">
        <v>1023</v>
      </c>
      <c r="C97">
        <f t="shared" si="8"/>
        <v>1.023E-3</v>
      </c>
      <c r="D97">
        <v>308.14999999999998</v>
      </c>
      <c r="E97">
        <f t="shared" si="9"/>
        <v>2.6462895903596996E-2</v>
      </c>
      <c r="F97" s="1">
        <v>2</v>
      </c>
      <c r="G97">
        <f t="shared" si="10"/>
        <v>0.01</v>
      </c>
      <c r="H97" s="19">
        <f t="shared" si="11"/>
        <v>4.9161123285617822E-7</v>
      </c>
      <c r="I97" s="19">
        <f t="shared" si="12"/>
        <v>5.6021457189118354E-11</v>
      </c>
      <c r="J97" s="4">
        <f>(Volumes!B93+Volumes!C93)/1000*B97*(10^-6)/($J$2*D97)</f>
        <v>8.9409952908191521E-7</v>
      </c>
      <c r="K97" s="24">
        <f>(Volumes!B93/1000)*C97*E97*((Volumes!D93+Volumes!C93)/Volumes!C93/1000)</f>
        <v>1.7867218056190623E-10</v>
      </c>
      <c r="L97" s="19">
        <f>J97*(H97/1000*Volumes!B93)/(G97/1000*Volumes!B93)</f>
        <v>4.3954937178808874E-11</v>
      </c>
      <c r="M97" s="19">
        <f>L97*(I97/1000*Volumes!B93)/(G97/1000*Volumes!B93)</f>
        <v>2.4624196314130278E-19</v>
      </c>
      <c r="N97" s="20">
        <f t="shared" si="13"/>
        <v>2.2262711798695708E-10</v>
      </c>
      <c r="O97" s="20">
        <f>(N97+J97)*(1000/Volumes!D93)</f>
        <v>1.7886443123998043E-4</v>
      </c>
      <c r="P97" s="22">
        <f t="shared" si="14"/>
        <v>7.8716447544402985</v>
      </c>
      <c r="Q97" s="5">
        <f t="shared" si="15"/>
        <v>2.1483406836234047</v>
      </c>
    </row>
    <row r="98" spans="1:17" ht="15" x14ac:dyDescent="0.2">
      <c r="A98" s="29" t="s">
        <v>184</v>
      </c>
      <c r="B98" s="49">
        <v>849.26111744562002</v>
      </c>
      <c r="C98">
        <f t="shared" si="8"/>
        <v>8.4926111744561999E-4</v>
      </c>
      <c r="D98">
        <v>308.14999999999998</v>
      </c>
      <c r="E98">
        <f t="shared" si="9"/>
        <v>2.6462895903596996E-2</v>
      </c>
      <c r="F98" s="1">
        <v>2</v>
      </c>
      <c r="G98">
        <f t="shared" si="10"/>
        <v>0.01</v>
      </c>
      <c r="H98" s="19">
        <f t="shared" si="11"/>
        <v>4.9161123285617822E-7</v>
      </c>
      <c r="I98" s="19">
        <f t="shared" si="12"/>
        <v>5.6021457189118354E-11</v>
      </c>
      <c r="J98" s="4">
        <f>(Volumes!B94+Volumes!C94)/1000*B98*(10^-6)/($J$2*D98)</f>
        <v>7.4225216537215047E-7</v>
      </c>
      <c r="K98" s="24">
        <f>(Volumes!B94/1000)*C98*E98*((Volumes!D94+Volumes!C94)/Volumes!C94/1000)</f>
        <v>1.4832779640317694E-10</v>
      </c>
      <c r="L98" s="19">
        <f>J98*(H98/1000*Volumes!B94)/(G98/1000*Volumes!B94)</f>
        <v>3.6489950210877081E-11</v>
      </c>
      <c r="M98" s="19">
        <f>L98*(I98/1000*Volumes!B94)/(G98/1000*Volumes!B94)</f>
        <v>2.0442201835717105E-19</v>
      </c>
      <c r="N98" s="20">
        <f t="shared" si="13"/>
        <v>1.8481774681847605E-10</v>
      </c>
      <c r="O98" s="20">
        <f>(N98+J98)*(1000/Volumes!D94)</f>
        <v>1.4848739662379377E-4</v>
      </c>
      <c r="P98" s="22">
        <f t="shared" si="14"/>
        <v>6.5347818380165403</v>
      </c>
      <c r="Q98" s="5">
        <f t="shared" si="15"/>
        <v>1.7834821208483871</v>
      </c>
    </row>
    <row r="99" spans="1:17" ht="15" x14ac:dyDescent="0.2">
      <c r="A99" s="29" t="s">
        <v>185</v>
      </c>
      <c r="B99" s="49">
        <v>1441.3028852032201</v>
      </c>
      <c r="C99">
        <f t="shared" si="8"/>
        <v>1.44130288520322E-3</v>
      </c>
      <c r="D99">
        <v>308.14999999999998</v>
      </c>
      <c r="E99">
        <f t="shared" si="9"/>
        <v>2.6462895903596996E-2</v>
      </c>
      <c r="F99" s="1">
        <v>2</v>
      </c>
      <c r="G99">
        <f t="shared" si="10"/>
        <v>0.01</v>
      </c>
      <c r="H99" s="19">
        <f t="shared" si="11"/>
        <v>4.9161123285617822E-7</v>
      </c>
      <c r="I99" s="19">
        <f t="shared" si="12"/>
        <v>5.6021457189118354E-11</v>
      </c>
      <c r="J99" s="4">
        <f>(Volumes!B95+Volumes!C95)/1000*B99*(10^-6)/($J$2*D99)</f>
        <v>1.2596952403955081E-6</v>
      </c>
      <c r="K99" s="24">
        <f>(Volumes!B95/1000)*C99*E99*((Volumes!D95+Volumes!C95)/Volumes!C95/1000)</f>
        <v>2.5173091823013301E-10</v>
      </c>
      <c r="L99" s="19">
        <f>J99*(H99/1000*Volumes!B95)/(G99/1000*Volumes!B95)</f>
        <v>6.1928033015389561E-11</v>
      </c>
      <c r="M99" s="19">
        <f>L99*(I99/1000*Volumes!B95)/(G99/1000*Volumes!B95)</f>
        <v>3.4692986503779544E-19</v>
      </c>
      <c r="N99" s="20">
        <f t="shared" si="13"/>
        <v>3.1365895159245245E-10</v>
      </c>
      <c r="O99" s="20">
        <f>(N99+J99)*(1000/Volumes!D95)</f>
        <v>2.5200177986942009E-4</v>
      </c>
      <c r="P99" s="22">
        <f t="shared" si="14"/>
        <v>11.090346330273308</v>
      </c>
      <c r="Q99" s="5">
        <f t="shared" si="15"/>
        <v>3.0267933780116043</v>
      </c>
    </row>
    <row r="100" spans="1:17" ht="15" x14ac:dyDescent="0.2">
      <c r="A100" s="29" t="s">
        <v>186</v>
      </c>
      <c r="B100" s="49">
        <v>902.51296142374804</v>
      </c>
      <c r="C100">
        <f t="shared" si="8"/>
        <v>9.0251296142374808E-4</v>
      </c>
      <c r="D100">
        <v>308.14999999999998</v>
      </c>
      <c r="E100">
        <f t="shared" si="9"/>
        <v>2.6462895903596996E-2</v>
      </c>
      <c r="F100" s="1">
        <v>2</v>
      </c>
      <c r="G100">
        <f t="shared" si="10"/>
        <v>0.01</v>
      </c>
      <c r="H100" s="19">
        <f t="shared" si="11"/>
        <v>4.9161123285617822E-7</v>
      </c>
      <c r="I100" s="19">
        <f t="shared" si="12"/>
        <v>5.6021457189118354E-11</v>
      </c>
      <c r="J100" s="4">
        <f>(Volumes!B96+Volumes!C96)/1000*B100*(10^-6)/($J$2*D100)</f>
        <v>7.8879414838641042E-7</v>
      </c>
      <c r="K100" s="24">
        <f>(Volumes!B96/1000)*C100*E100*((Volumes!D96+Volumes!C96)/Volumes!C96/1000)</f>
        <v>1.5762850322870437E-10</v>
      </c>
      <c r="L100" s="19">
        <f>J100*(H100/1000*Volumes!B96)/(G100/1000*Volumes!B96)</f>
        <v>3.8778006375798246E-11</v>
      </c>
      <c r="M100" s="19">
        <f>L100*(I100/1000*Volumes!B96)/(G100/1000*Volumes!B96)</f>
        <v>2.1724004240611401E-19</v>
      </c>
      <c r="N100" s="20">
        <f t="shared" si="13"/>
        <v>1.9640650982174267E-10</v>
      </c>
      <c r="O100" s="20">
        <f>(N100+J100)*(1000/Volumes!D96)</f>
        <v>1.5779811097924642E-4</v>
      </c>
      <c r="P100" s="22">
        <f t="shared" si="14"/>
        <v>6.9445370660856556</v>
      </c>
      <c r="Q100" s="5">
        <f t="shared" si="15"/>
        <v>1.8953131109717287</v>
      </c>
    </row>
    <row r="101" spans="1:17" ht="15" x14ac:dyDescent="0.2">
      <c r="A101" s="29" t="s">
        <v>187</v>
      </c>
      <c r="B101" s="49">
        <v>734.30252843805602</v>
      </c>
      <c r="C101">
        <f t="shared" si="8"/>
        <v>7.3430252843805605E-4</v>
      </c>
      <c r="D101">
        <v>308.14999999999998</v>
      </c>
      <c r="E101">
        <f t="shared" si="9"/>
        <v>2.6462895903596996E-2</v>
      </c>
      <c r="F101" s="1">
        <v>2</v>
      </c>
      <c r="G101">
        <f t="shared" si="10"/>
        <v>0.01</v>
      </c>
      <c r="H101" s="19">
        <f t="shared" si="11"/>
        <v>4.9161123285617822E-7</v>
      </c>
      <c r="I101" s="19">
        <f t="shared" si="12"/>
        <v>5.6021457189118354E-11</v>
      </c>
      <c r="J101" s="4">
        <f>(Volumes!B97+Volumes!C97)/1000*B101*(10^-6)/($J$2*D101)</f>
        <v>6.4177863624645699E-7</v>
      </c>
      <c r="K101" s="24">
        <f>(Volumes!B97/1000)*C101*E101*((Volumes!D97+Volumes!C97)/Volumes!C97/1000)</f>
        <v>1.2824969105390871E-10</v>
      </c>
      <c r="L101" s="19">
        <f>J101*(H101/1000*Volumes!B97)/(G101/1000*Volumes!B97)</f>
        <v>3.1550558658587752E-11</v>
      </c>
      <c r="M101" s="19">
        <f>L101*(I101/1000*Volumes!B97)/(G101/1000*Volumes!B97)</f>
        <v>1.7675082711848412E-19</v>
      </c>
      <c r="N101" s="20">
        <f t="shared" si="13"/>
        <v>1.5980024988924727E-10</v>
      </c>
      <c r="O101" s="20">
        <f>(N101+J101)*(1000/Volumes!D97)</f>
        <v>1.2838768729926924E-4</v>
      </c>
      <c r="P101" s="22">
        <f t="shared" si="14"/>
        <v>5.6502137303535402</v>
      </c>
      <c r="Q101" s="5">
        <f t="shared" si="15"/>
        <v>1.5420645121515228</v>
      </c>
    </row>
    <row r="102" spans="1:17" ht="15" x14ac:dyDescent="0.2">
      <c r="A102" s="29" t="s">
        <v>188</v>
      </c>
      <c r="B102" s="49">
        <v>688</v>
      </c>
      <c r="C102">
        <f t="shared" si="8"/>
        <v>6.8800000000000003E-4</v>
      </c>
      <c r="D102">
        <v>308.14999999999998</v>
      </c>
      <c r="E102">
        <f t="shared" si="9"/>
        <v>2.6462895903596996E-2</v>
      </c>
      <c r="F102" s="1">
        <v>2</v>
      </c>
      <c r="G102">
        <f t="shared" si="10"/>
        <v>0.01</v>
      </c>
      <c r="H102" s="19">
        <f t="shared" si="11"/>
        <v>4.9161123285617822E-7</v>
      </c>
      <c r="I102" s="19">
        <f t="shared" si="12"/>
        <v>5.6021457189118354E-11</v>
      </c>
      <c r="J102" s="4">
        <f>(Volumes!B98+Volumes!C98)/1000*B102*(10^-6)/($J$2*D102)</f>
        <v>6.0131033822908862E-7</v>
      </c>
      <c r="K102" s="24">
        <f>(Volumes!B98/1000)*C102*E102*((Volumes!D98+Volumes!C98)/Volumes!C98/1000)</f>
        <v>1.2016271771905323E-10</v>
      </c>
      <c r="L102" s="19">
        <f>J102*(H102/1000*Volumes!B98)/(G102/1000*Volumes!B98)</f>
        <v>2.9561091670596779E-11</v>
      </c>
      <c r="M102" s="19">
        <f>L102*(I102/1000*Volumes!B98)/(G102/1000*Volumes!B98)</f>
        <v>1.6560554314879406E-19</v>
      </c>
      <c r="N102" s="20">
        <f t="shared" si="13"/>
        <v>1.4972380955525555E-10</v>
      </c>
      <c r="O102" s="20">
        <f>(N102+J102)*(1000/Volumes!D98)</f>
        <v>1.2029201240772878E-4</v>
      </c>
      <c r="P102" s="22">
        <f t="shared" si="14"/>
        <v>5.2939311740517354</v>
      </c>
      <c r="Q102" s="5">
        <f t="shared" si="15"/>
        <v>1.4448273610292302</v>
      </c>
    </row>
    <row r="103" spans="1:17" ht="15" x14ac:dyDescent="0.2">
      <c r="A103" s="29" t="s">
        <v>189</v>
      </c>
      <c r="B103" s="49">
        <v>565.86993373375196</v>
      </c>
      <c r="C103">
        <f t="shared" si="8"/>
        <v>5.6586993373375198E-4</v>
      </c>
      <c r="D103">
        <v>308.14999999999998</v>
      </c>
      <c r="E103">
        <f t="shared" si="9"/>
        <v>2.6462895903596996E-2</v>
      </c>
      <c r="F103" s="1">
        <v>2</v>
      </c>
      <c r="G103">
        <f t="shared" si="10"/>
        <v>0.01</v>
      </c>
      <c r="H103" s="19">
        <f t="shared" si="11"/>
        <v>4.9161123285617822E-7</v>
      </c>
      <c r="I103" s="19">
        <f t="shared" si="12"/>
        <v>5.6021457189118354E-11</v>
      </c>
      <c r="J103" s="4">
        <f>(Volumes!B99+Volumes!C99)/1000*B103*(10^-6)/($J$2*D103)</f>
        <v>4.945689553010384E-7</v>
      </c>
      <c r="K103" s="24">
        <f>(Volumes!B99/1000)*C103*E103*((Volumes!D99+Volumes!C99)/Volumes!C99/1000)</f>
        <v>9.8832077199052626E-11</v>
      </c>
      <c r="L103" s="19">
        <f>J103*(H103/1000*Volumes!B99)/(G103/1000*Volumes!B99)</f>
        <v>2.4313565384793562E-11</v>
      </c>
      <c r="M103" s="19">
        <f>L103*(I103/1000*Volumes!B99)/(G103/1000*Volumes!B99)</f>
        <v>1.3620813623190425E-19</v>
      </c>
      <c r="N103" s="20">
        <f t="shared" si="13"/>
        <v>1.2314564272005433E-10</v>
      </c>
      <c r="O103" s="20">
        <f>(N103+J103)*(1000/Volumes!D99)</f>
        <v>9.8938420188751679E-5</v>
      </c>
      <c r="P103" s="22">
        <f t="shared" si="14"/>
        <v>4.3541809340867728</v>
      </c>
      <c r="Q103" s="5">
        <f t="shared" si="15"/>
        <v>1.1883493648870964</v>
      </c>
    </row>
    <row r="104" spans="1:17" ht="15" x14ac:dyDescent="0.2">
      <c r="A104" s="29" t="s">
        <v>190</v>
      </c>
      <c r="B104" s="49">
        <v>738.24667692372498</v>
      </c>
      <c r="C104">
        <f t="shared" si="8"/>
        <v>7.3824667692372499E-4</v>
      </c>
      <c r="D104">
        <v>308.14999999999998</v>
      </c>
      <c r="E104">
        <f t="shared" si="9"/>
        <v>2.6462895903596996E-2</v>
      </c>
      <c r="F104" s="1">
        <v>2</v>
      </c>
      <c r="G104">
        <f t="shared" si="10"/>
        <v>0.01</v>
      </c>
      <c r="H104" s="19">
        <f t="shared" si="11"/>
        <v>4.9161123285617822E-7</v>
      </c>
      <c r="I104" s="19">
        <f t="shared" si="12"/>
        <v>5.6021457189118354E-11</v>
      </c>
      <c r="J104" s="4">
        <f>(Volumes!B100+Volumes!C100)/1000*B104*(10^-6)/($J$2*D104)</f>
        <v>6.4522581249637477E-7</v>
      </c>
      <c r="K104" s="24">
        <f>(Volumes!B100/1000)*C104*E104*((Volumes!D100+Volumes!C100)/Volumes!C100/1000)</f>
        <v>1.28938556753219E-10</v>
      </c>
      <c r="L104" s="19">
        <f>J104*(H104/1000*Volumes!B100)/(G104/1000*Volumes!B100)</f>
        <v>3.1720025715197214E-11</v>
      </c>
      <c r="M104" s="19">
        <f>L104*(I104/1000*Volumes!B100)/(G104/1000*Volumes!B100)</f>
        <v>1.7770020626416539E-19</v>
      </c>
      <c r="N104" s="20">
        <f t="shared" si="13"/>
        <v>1.6065858264611642E-10</v>
      </c>
      <c r="O104" s="20">
        <f>(N104+J104)*(1000/Volumes!D100)</f>
        <v>1.2907729421580418E-4</v>
      </c>
      <c r="P104" s="22">
        <f t="shared" si="14"/>
        <v>5.6805626411433261</v>
      </c>
      <c r="Q104" s="5">
        <f t="shared" si="15"/>
        <v>1.550347380826024</v>
      </c>
    </row>
    <row r="105" spans="1:17" ht="15" x14ac:dyDescent="0.2">
      <c r="A105" s="29" t="s">
        <v>191</v>
      </c>
      <c r="B105" s="49">
        <v>934</v>
      </c>
      <c r="C105">
        <f t="shared" si="8"/>
        <v>9.3400000000000004E-4</v>
      </c>
      <c r="D105">
        <v>308.14999999999998</v>
      </c>
      <c r="E105">
        <f t="shared" si="9"/>
        <v>2.6462895903596996E-2</v>
      </c>
      <c r="F105" s="1">
        <v>2</v>
      </c>
      <c r="G105">
        <f t="shared" si="10"/>
        <v>0.01</v>
      </c>
      <c r="H105" s="19">
        <f t="shared" si="11"/>
        <v>4.9161123285617822E-7</v>
      </c>
      <c r="I105" s="19">
        <f t="shared" si="12"/>
        <v>5.6021457189118354E-11</v>
      </c>
      <c r="J105" s="4">
        <f>(Volumes!B101+Volumes!C101)/1000*B105*(10^-6)/($J$2*D105)</f>
        <v>8.1631374404937314E-7</v>
      </c>
      <c r="K105" s="24">
        <f>(Volumes!B101/1000)*C105*E105*((Volumes!D101+Volumes!C101)/Volumes!C101/1000)</f>
        <v>1.6312787550813333E-10</v>
      </c>
      <c r="L105" s="19">
        <f>J105*(H105/1000*Volumes!B101)/(G105/1000*Volumes!B101)</f>
        <v>4.0130900610955507E-11</v>
      </c>
      <c r="M105" s="19">
        <f>L105*(I105/1000*Volumes!B101)/(G105/1000*Volumes!B101)</f>
        <v>2.2481915305374071E-19</v>
      </c>
      <c r="N105" s="20">
        <f t="shared" si="13"/>
        <v>2.0325877634390799E-10</v>
      </c>
      <c r="O105" s="20">
        <f>(N105+J105)*(1000/Volumes!D101)</f>
        <v>1.633034005651434E-4</v>
      </c>
      <c r="P105" s="22">
        <f t="shared" si="14"/>
        <v>7.1868193554713962</v>
      </c>
      <c r="Q105" s="5">
        <f t="shared" si="15"/>
        <v>1.9614371441879372</v>
      </c>
    </row>
    <row r="106" spans="1:17" ht="15" x14ac:dyDescent="0.2">
      <c r="A106" s="29" t="s">
        <v>192</v>
      </c>
      <c r="B106" s="49">
        <v>918.38195749247404</v>
      </c>
      <c r="C106">
        <f t="shared" si="8"/>
        <v>9.1838195749247399E-4</v>
      </c>
      <c r="D106">
        <v>308.14999999999998</v>
      </c>
      <c r="E106">
        <f t="shared" si="9"/>
        <v>2.6462895903596996E-2</v>
      </c>
      <c r="F106" s="1">
        <v>2</v>
      </c>
      <c r="G106">
        <f t="shared" si="10"/>
        <v>0.01</v>
      </c>
      <c r="H106" s="19">
        <f t="shared" si="11"/>
        <v>4.9161123285617822E-7</v>
      </c>
      <c r="I106" s="19">
        <f t="shared" si="12"/>
        <v>5.6021457189118354E-11</v>
      </c>
      <c r="J106" s="4">
        <f>(Volumes!B102+Volumes!C102)/1000*B106*(10^-6)/($J$2*D106)</f>
        <v>8.0266361262106403E-7</v>
      </c>
      <c r="K106" s="24">
        <f>(Volumes!B102/1000)*C106*E106*((Volumes!D102+Volumes!C102)/Volumes!C102/1000)</f>
        <v>1.6040010452970885E-10</v>
      </c>
      <c r="L106" s="19">
        <f>J106*(H106/1000*Volumes!B102)/(G106/1000*Volumes!B102)</f>
        <v>3.9459844816943515E-11</v>
      </c>
      <c r="M106" s="19">
        <f>L106*(I106/1000*Volumes!B102)/(G106/1000*Volumes!B102)</f>
        <v>2.2105980071016547E-19</v>
      </c>
      <c r="N106" s="20">
        <f t="shared" si="13"/>
        <v>1.9985994956771219E-10</v>
      </c>
      <c r="O106" s="20">
        <f>(N106+J106)*(1000/Volumes!D102)</f>
        <v>1.6057269451412635E-4</v>
      </c>
      <c r="P106" s="22">
        <f t="shared" si="14"/>
        <v>7.0666437128721871</v>
      </c>
      <c r="Q106" s="5">
        <f t="shared" si="15"/>
        <v>1.9286386338091717</v>
      </c>
    </row>
    <row r="107" spans="1:17" ht="15" x14ac:dyDescent="0.2">
      <c r="A107" s="29" t="s">
        <v>193</v>
      </c>
      <c r="B107" s="49">
        <v>1144.10290037756</v>
      </c>
      <c r="C107">
        <f t="shared" si="8"/>
        <v>1.14410290037756E-3</v>
      </c>
      <c r="D107">
        <v>308.14999999999998</v>
      </c>
      <c r="E107">
        <f t="shared" si="9"/>
        <v>2.6462895903596996E-2</v>
      </c>
      <c r="F107" s="1">
        <v>2</v>
      </c>
      <c r="G107">
        <f t="shared" si="10"/>
        <v>0.01</v>
      </c>
      <c r="H107" s="19">
        <f t="shared" si="11"/>
        <v>4.9161123285617822E-7</v>
      </c>
      <c r="I107" s="19">
        <f t="shared" si="12"/>
        <v>5.6021457189118354E-11</v>
      </c>
      <c r="J107" s="4">
        <f>(Volumes!B103+Volumes!C103)/1000*B107*(10^-6)/($J$2*D107)</f>
        <v>9.9994317150423232E-7</v>
      </c>
      <c r="K107" s="24">
        <f>(Volumes!B103/1000)*C107*E107*((Volumes!D103+Volumes!C103)/Volumes!C103/1000)</f>
        <v>1.998234213075855E-10</v>
      </c>
      <c r="L107" s="19">
        <f>J107*(H107/1000*Volumes!B103)/(G107/1000*Volumes!B103)</f>
        <v>4.9158329532931259E-11</v>
      </c>
      <c r="M107" s="19">
        <f>L107*(I107/1000*Volumes!B103)/(G107/1000*Volumes!B103)</f>
        <v>2.753921253417681E-19</v>
      </c>
      <c r="N107" s="20">
        <f t="shared" si="13"/>
        <v>2.4898175111590888E-10</v>
      </c>
      <c r="O107" s="20">
        <f>(N107+J107)*(1000/Volumes!D103)</f>
        <v>2.0003843065106964E-4</v>
      </c>
      <c r="P107" s="22">
        <f t="shared" si="14"/>
        <v>8.8034912945229227</v>
      </c>
      <c r="Q107" s="5">
        <f t="shared" si="15"/>
        <v>2.4026615905499971</v>
      </c>
    </row>
    <row r="108" spans="1:17" ht="15" x14ac:dyDescent="0.2">
      <c r="A108" s="29" t="s">
        <v>194</v>
      </c>
      <c r="B108" s="49">
        <v>692.35960962098602</v>
      </c>
      <c r="C108">
        <f t="shared" si="8"/>
        <v>6.9235960962098599E-4</v>
      </c>
      <c r="D108">
        <v>308.14999999999998</v>
      </c>
      <c r="E108">
        <f t="shared" si="9"/>
        <v>2.6462895903596996E-2</v>
      </c>
      <c r="F108" s="1">
        <v>2</v>
      </c>
      <c r="G108">
        <f t="shared" si="10"/>
        <v>0.01</v>
      </c>
      <c r="H108" s="19">
        <f t="shared" si="11"/>
        <v>4.9161123285617822E-7</v>
      </c>
      <c r="I108" s="19">
        <f t="shared" si="12"/>
        <v>5.6021457189118354E-11</v>
      </c>
      <c r="J108" s="4">
        <f>(Volumes!B104+Volumes!C104)/1000*B108*(10^-6)/($J$2*D108)</f>
        <v>6.0512062650778323E-7</v>
      </c>
      <c r="K108" s="24">
        <f>(Volumes!B104/1000)*C108*E108*((Volumes!D104+Volumes!C104)/Volumes!C104/1000)</f>
        <v>1.2092414582988435E-10</v>
      </c>
      <c r="L108" s="19">
        <f>J108*(H108/1000*Volumes!B104)/(G108/1000*Volumes!B104)</f>
        <v>2.9748409722419429E-11</v>
      </c>
      <c r="M108" s="19">
        <f>L108*(I108/1000*Volumes!B104)/(G108/1000*Volumes!B104)</f>
        <v>1.6665492617088723E-19</v>
      </c>
      <c r="N108" s="20">
        <f t="shared" si="13"/>
        <v>1.506725557189587E-10</v>
      </c>
      <c r="O108" s="20">
        <f>(N108+J108)*(1000/Volumes!D104)</f>
        <v>1.2105425981270043E-4</v>
      </c>
      <c r="P108" s="22">
        <f t="shared" si="14"/>
        <v>5.3274769200971335</v>
      </c>
      <c r="Q108" s="5">
        <f t="shared" si="15"/>
        <v>1.4539827146103448</v>
      </c>
    </row>
    <row r="109" spans="1:17" ht="15" x14ac:dyDescent="0.2">
      <c r="A109" s="29" t="s">
        <v>195</v>
      </c>
      <c r="B109" s="49">
        <v>686</v>
      </c>
      <c r="C109">
        <f t="shared" si="8"/>
        <v>6.8599999999999998E-4</v>
      </c>
      <c r="D109">
        <v>308.14999999999998</v>
      </c>
      <c r="E109">
        <f t="shared" si="9"/>
        <v>2.6462895903596996E-2</v>
      </c>
      <c r="F109" s="1">
        <v>2</v>
      </c>
      <c r="G109">
        <f t="shared" si="10"/>
        <v>0.01</v>
      </c>
      <c r="H109" s="19">
        <f t="shared" si="11"/>
        <v>4.9161123285617822E-7</v>
      </c>
      <c r="I109" s="19">
        <f t="shared" si="12"/>
        <v>5.6021457189118354E-11</v>
      </c>
      <c r="J109" s="4">
        <f>(Volumes!B105+Volumes!C105)/1000*B109*(10^-6)/($J$2*D109)</f>
        <v>5.9956234305981803E-7</v>
      </c>
      <c r="K109" s="24">
        <f>(Volumes!B105/1000)*C109*E109*((Volumes!D105+Volumes!C105)/Volumes!C105/1000)</f>
        <v>1.1981340749312574E-10</v>
      </c>
      <c r="L109" s="19">
        <f>J109*(H109/1000*Volumes!B105)/(G109/1000*Volumes!B105)</f>
        <v>2.9475158264577604E-11</v>
      </c>
      <c r="M109" s="19">
        <f>L109*(I109/1000*Volumes!B105)/(G109/1000*Volumes!B105)</f>
        <v>1.6512413168615222E-19</v>
      </c>
      <c r="N109" s="20">
        <f t="shared" si="13"/>
        <v>1.4928856592282748E-10</v>
      </c>
      <c r="O109" s="20">
        <f>(N109+J109)*(1000/Volumes!D105)</f>
        <v>1.1994232632514816E-4</v>
      </c>
      <c r="P109" s="22">
        <f t="shared" si="14"/>
        <v>5.278541839243446</v>
      </c>
      <c r="Q109" s="5">
        <f t="shared" si="15"/>
        <v>1.4406272814913545</v>
      </c>
    </row>
    <row r="110" spans="1:17" x14ac:dyDescent="0.15">
      <c r="A110" s="25" t="s">
        <v>196</v>
      </c>
      <c r="B110" s="49">
        <v>1159.81473752177</v>
      </c>
      <c r="C110">
        <f t="shared" si="8"/>
        <v>1.1598147375217699E-3</v>
      </c>
      <c r="D110">
        <v>308.14999999999998</v>
      </c>
      <c r="E110">
        <f t="shared" si="9"/>
        <v>2.6462895903596996E-2</v>
      </c>
      <c r="F110" s="1">
        <v>2</v>
      </c>
      <c r="G110">
        <f t="shared" si="10"/>
        <v>0.01</v>
      </c>
      <c r="H110" s="19">
        <f t="shared" si="11"/>
        <v>4.9161123285617822E-7</v>
      </c>
      <c r="I110" s="19">
        <f t="shared" si="12"/>
        <v>5.6021457189118354E-11</v>
      </c>
      <c r="J110" s="4">
        <f>(Volumes!B106+Volumes!C106)/1000*B110*(10^-6)/($J$2*D110)</f>
        <v>1.0136752792184552E-6</v>
      </c>
      <c r="K110" s="24">
        <f>(Volumes!B106/1000)*C110*E110*((Volumes!D106+Volumes!C106)/Volumes!C106/1000)</f>
        <v>2.0256757399887538E-10</v>
      </c>
      <c r="L110" s="19">
        <f>J110*(H110/1000*Volumes!B106)/(G110/1000*Volumes!B106)</f>
        <v>4.9833415373241552E-11</v>
      </c>
      <c r="M110" s="19">
        <f>L110*(I110/1000*Volumes!B106)/(G110/1000*Volumes!B106)</f>
        <v>2.7917405459196041E-19</v>
      </c>
      <c r="N110" s="20">
        <f t="shared" si="13"/>
        <v>2.5240098965129099E-10</v>
      </c>
      <c r="O110" s="20">
        <f>(N110+J110)*(1000/Volumes!D106)</f>
        <v>2.0278553604162128E-4</v>
      </c>
      <c r="P110" s="22">
        <f t="shared" si="14"/>
        <v>8.9243886556557097</v>
      </c>
      <c r="Q110" s="5">
        <f t="shared" si="15"/>
        <v>2.4356570733959129</v>
      </c>
    </row>
    <row r="111" spans="1:17" x14ac:dyDescent="0.15">
      <c r="A111" t="s">
        <v>197</v>
      </c>
      <c r="B111" s="49">
        <v>935.84344910588402</v>
      </c>
      <c r="C111">
        <f t="shared" si="8"/>
        <v>9.35843449105884E-4</v>
      </c>
      <c r="D111">
        <v>308.14999999999998</v>
      </c>
      <c r="E111">
        <f t="shared" si="9"/>
        <v>2.6462895903596996E-2</v>
      </c>
      <c r="F111" s="1">
        <v>2</v>
      </c>
      <c r="G111">
        <f t="shared" si="10"/>
        <v>0.01</v>
      </c>
      <c r="H111" s="19">
        <f t="shared" si="11"/>
        <v>4.9161123285617822E-7</v>
      </c>
      <c r="I111" s="19">
        <f t="shared" si="12"/>
        <v>5.6021457189118354E-11</v>
      </c>
      <c r="J111" s="4">
        <f>(Volumes!B107+Volumes!C107)/1000*B111*(10^-6)/($J$2*D111)</f>
        <v>8.1792491411531389E-7</v>
      </c>
      <c r="K111" s="24">
        <f>(Volumes!B107/1000)*C111*E111*((Volumes!D107+Volumes!C107)/Volumes!C107/1000)</f>
        <v>1.634498433199644E-10</v>
      </c>
      <c r="L111" s="19">
        <f>J111*(H111/1000*Volumes!B107)/(G111/1000*Volumes!B107)</f>
        <v>4.021010754120132E-11</v>
      </c>
      <c r="M111" s="19">
        <f>L111*(I111/1000*Volumes!B107)/(G111/1000*Volumes!B107)</f>
        <v>2.252628818189255E-19</v>
      </c>
      <c r="N111" s="20">
        <f t="shared" si="13"/>
        <v>2.0365995108642861E-10</v>
      </c>
      <c r="O111" s="20">
        <f>(N111+J111)*(1000/Volumes!D107)</f>
        <v>1.6362571481328008E-4</v>
      </c>
      <c r="P111" s="22">
        <f t="shared" si="14"/>
        <v>7.2010040832176436</v>
      </c>
      <c r="Q111" s="5">
        <f t="shared" si="15"/>
        <v>1.965308460622307</v>
      </c>
    </row>
    <row r="112" spans="1:17" x14ac:dyDescent="0.15">
      <c r="A112" t="s">
        <v>176</v>
      </c>
      <c r="B112" s="49">
        <v>767.18772417773403</v>
      </c>
      <c r="C112">
        <f t="shared" si="8"/>
        <v>7.6718772417773407E-4</v>
      </c>
      <c r="D112">
        <v>308.14999999999998</v>
      </c>
      <c r="E112">
        <f>EXP(-58.0931+(90.5069*(100/D112))+(22.294*LN(D112/100)))</f>
        <v>2.6462895903596996E-2</v>
      </c>
      <c r="F112" s="1">
        <v>2</v>
      </c>
      <c r="G112">
        <f t="shared" si="10"/>
        <v>0.01</v>
      </c>
      <c r="H112" s="19">
        <f>10^((-3404.71/D112)+14.8435-0.032786*D112)</f>
        <v>4.9161123285617822E-7</v>
      </c>
      <c r="I112" s="19">
        <f>10^((-2902.39/D112)+6.498-0.02379*D112)</f>
        <v>5.6021457189118354E-11</v>
      </c>
      <c r="J112" s="4">
        <f>(Volumes!B108+Volumes!C108)/1000*B112*(10^-6)/($J$2*D112)</f>
        <v>6.705202178931948E-7</v>
      </c>
      <c r="K112" s="24">
        <f>(Volumes!B108/1000)*C112*E112*((Volumes!D108+Volumes!C108)/Volumes!C108/1000)</f>
        <v>1.3399325863065687E-10</v>
      </c>
      <c r="L112" s="19">
        <f>J112*(H112/1000*Volumes!B108)/(G112/1000*Volumes!B108)</f>
        <v>3.2963527097346675E-11</v>
      </c>
      <c r="M112" s="19">
        <f>L112*(I112/1000*Volumes!B108)/(G112/1000*Volumes!B108)</f>
        <v>1.8466648220863497E-19</v>
      </c>
      <c r="N112" s="20">
        <f>SUM(K112:M112)</f>
        <v>1.6695678591267005E-10</v>
      </c>
      <c r="O112" s="20">
        <f>(N112+J112)*(1000/Volumes!D108)</f>
        <v>1.3413743493582148E-4</v>
      </c>
      <c r="P112" s="22">
        <f t="shared" si="14"/>
        <v>5.9032543740905679</v>
      </c>
      <c r="Q112" s="5">
        <f>P112/44.009*12.011</f>
        <v>1.6111247310141517</v>
      </c>
    </row>
    <row r="113" spans="1:17" x14ac:dyDescent="0.15">
      <c r="A113" t="s">
        <v>198</v>
      </c>
      <c r="B113" s="49">
        <v>1676</v>
      </c>
      <c r="C113">
        <f t="shared" si="8"/>
        <v>1.676E-3</v>
      </c>
      <c r="D113">
        <v>308.14999999999998</v>
      </c>
      <c r="E113">
        <f t="shared" ref="E113:E152" si="16">EXP(-58.0931+(90.5069*(100/D113))+(22.294*LN(D113/100)))</f>
        <v>2.6462895903596996E-2</v>
      </c>
      <c r="F113" s="1">
        <v>2</v>
      </c>
      <c r="G113">
        <f t="shared" si="10"/>
        <v>0.01</v>
      </c>
      <c r="H113" s="19">
        <f t="shared" ref="H113:H152" si="17">10^((-3404.71/D113)+14.8435-0.032786*D113)</f>
        <v>4.9161123285617822E-7</v>
      </c>
      <c r="I113" s="19">
        <f t="shared" ref="I113:I152" si="18">10^((-2902.39/D113)+6.498-0.02379*D113)</f>
        <v>5.6021457189118354E-11</v>
      </c>
      <c r="J113" s="4">
        <f>(Volumes!B109+Volumes!C109)/1000*B113*(10^-6)/($J$2*D113)</f>
        <v>1.4648199518487681E-6</v>
      </c>
      <c r="K113" s="24">
        <f>(Volumes!B109/1000)*C113*E113*((Volumes!D109+Volumes!C109)/Volumes!C109/1000)</f>
        <v>2.9272196932722851E-10</v>
      </c>
      <c r="L113" s="19">
        <f>J113*(H113/1000*Volumes!B109)/(G113/1000*Volumes!B109)</f>
        <v>7.2012194244070062E-11</v>
      </c>
      <c r="M113" s="19">
        <f>L113*(I113/1000*Volumes!B109)/(G113/1000*Volumes!B109)</f>
        <v>4.0342280569386458E-19</v>
      </c>
      <c r="N113" s="20">
        <f t="shared" ref="N113:N152" si="19">SUM(K113:M113)</f>
        <v>3.647341639747214E-10</v>
      </c>
      <c r="O113" s="20">
        <f>(N113+J113)*(1000/Volumes!D109)</f>
        <v>2.9303693720254858E-4</v>
      </c>
      <c r="P113" s="22">
        <f t="shared" si="14"/>
        <v>12.896262569346961</v>
      </c>
      <c r="Q113" s="5">
        <f t="shared" ref="Q113:Q152" si="20">P113/44.009*12.011</f>
        <v>3.5196666527398111</v>
      </c>
    </row>
    <row r="114" spans="1:17" x14ac:dyDescent="0.15">
      <c r="A114" t="s">
        <v>199</v>
      </c>
      <c r="B114" s="49">
        <v>566</v>
      </c>
      <c r="C114">
        <f t="shared" si="8"/>
        <v>5.6599999999999999E-4</v>
      </c>
      <c r="D114">
        <v>308.14999999999998</v>
      </c>
      <c r="E114">
        <f t="shared" si="16"/>
        <v>2.6462895903596996E-2</v>
      </c>
      <c r="F114" s="1">
        <v>2</v>
      </c>
      <c r="G114">
        <f t="shared" si="10"/>
        <v>0.01</v>
      </c>
      <c r="H114" s="19">
        <f t="shared" si="17"/>
        <v>4.9161123285617822E-7</v>
      </c>
      <c r="I114" s="19">
        <f t="shared" si="18"/>
        <v>5.6021457189118354E-11</v>
      </c>
      <c r="J114" s="4">
        <f>(Volumes!B110+Volumes!C110)/1000*B114*(10^-6)/($J$2*D114)</f>
        <v>4.9468263290358161E-7</v>
      </c>
      <c r="K114" s="24">
        <f>(Volumes!B110/1000)*C114*E114*((Volumes!D110+Volumes!C110)/Volumes!C110/1000)</f>
        <v>9.8854793937476934E-11</v>
      </c>
      <c r="L114" s="19">
        <f>J114*(H114/1000*Volumes!B110)/(G114/1000*Volumes!B110)</f>
        <v>2.4319153903427002E-11</v>
      </c>
      <c r="M114" s="19">
        <f>L114*(I114/1000*Volumes!B110)/(G114/1000*Volumes!B110)</f>
        <v>1.3623944392764164E-19</v>
      </c>
      <c r="N114" s="20">
        <f t="shared" si="19"/>
        <v>1.2317394797714338E-10</v>
      </c>
      <c r="O114" s="20">
        <f>(N114+J114)*(1000/Volumes!D110)</f>
        <v>9.8961161370311756E-5</v>
      </c>
      <c r="P114" s="22">
        <f t="shared" si="14"/>
        <v>4.3551817507460502</v>
      </c>
      <c r="Q114" s="5">
        <f t="shared" si="20"/>
        <v>1.1886225092188145</v>
      </c>
    </row>
    <row r="115" spans="1:17" x14ac:dyDescent="0.15">
      <c r="A115" t="s">
        <v>200</v>
      </c>
      <c r="B115" s="49">
        <v>1129.0896691420801</v>
      </c>
      <c r="C115">
        <f t="shared" si="8"/>
        <v>1.1290896691420801E-3</v>
      </c>
      <c r="D115">
        <v>308.14999999999998</v>
      </c>
      <c r="E115">
        <f t="shared" si="16"/>
        <v>2.6462895903596996E-2</v>
      </c>
      <c r="F115" s="1">
        <v>2</v>
      </c>
      <c r="G115">
        <f t="shared" si="10"/>
        <v>0.01</v>
      </c>
      <c r="H115" s="19">
        <f t="shared" si="17"/>
        <v>4.9161123285617822E-7</v>
      </c>
      <c r="I115" s="19">
        <f t="shared" si="18"/>
        <v>5.6021457189118354E-11</v>
      </c>
      <c r="J115" s="4">
        <f>(Volumes!B111+Volumes!C111)/1000*B115*(10^-6)/($J$2*D115)</f>
        <v>9.8682164366685175E-7</v>
      </c>
      <c r="K115" s="24">
        <f>(Volumes!B111/1000)*C115*E115*((Volumes!D111+Volumes!C111)/Volumes!C111/1000)</f>
        <v>1.97201283710202E-10</v>
      </c>
      <c r="L115" s="19">
        <f>J115*(H115/1000*Volumes!B111)/(G115/1000*Volumes!B111)</f>
        <v>4.8513260485222122E-11</v>
      </c>
      <c r="M115" s="19">
        <f>L115*(I115/1000*Volumes!B111)/(G115/1000*Volumes!B111)</f>
        <v>2.7177835453774183E-19</v>
      </c>
      <c r="N115" s="20">
        <f t="shared" si="19"/>
        <v>2.4571454446720248E-10</v>
      </c>
      <c r="O115" s="20">
        <f>(N115+J115)*(1000/Volumes!D111)</f>
        <v>1.9741347164226378E-4</v>
      </c>
      <c r="P115" s="22">
        <f t="shared" si="14"/>
        <v>8.6879694735043866</v>
      </c>
      <c r="Q115" s="5">
        <f t="shared" si="20"/>
        <v>2.3711332078952299</v>
      </c>
    </row>
    <row r="116" spans="1:17" x14ac:dyDescent="0.15">
      <c r="A116" t="s">
        <v>201</v>
      </c>
      <c r="B116" s="49">
        <v>2206.9725026649999</v>
      </c>
      <c r="C116">
        <f t="shared" si="8"/>
        <v>2.2069725026649997E-3</v>
      </c>
      <c r="D116">
        <v>308.14999999999998</v>
      </c>
      <c r="E116">
        <f t="shared" si="16"/>
        <v>2.6462895903596996E-2</v>
      </c>
      <c r="F116" s="1">
        <v>2</v>
      </c>
      <c r="G116">
        <f t="shared" si="10"/>
        <v>0.01</v>
      </c>
      <c r="H116" s="19">
        <f t="shared" si="17"/>
        <v>4.9161123285617822E-7</v>
      </c>
      <c r="I116" s="19">
        <f t="shared" si="18"/>
        <v>5.6021457189118354E-11</v>
      </c>
      <c r="J116" s="4">
        <f>(Volumes!B112+Volumes!C112)/1000*B116*(10^-6)/($J$2*D116)</f>
        <v>1.9288886366857402E-6</v>
      </c>
      <c r="K116" s="24">
        <f>(Volumes!B112/1000)*C116*E116*((Volumes!D112+Volumes!C112)/Volumes!C112/1000)</f>
        <v>3.8545903176082382E-10</v>
      </c>
      <c r="L116" s="19">
        <f>J116*(H116/1000*Volumes!B112)/(G116/1000*Volumes!B112)</f>
        <v>9.4826332072334967E-11</v>
      </c>
      <c r="M116" s="19">
        <f>L116*(I116/1000*Volumes!B112)/(G116/1000*Volumes!B112)</f>
        <v>5.3123093025914333E-19</v>
      </c>
      <c r="N116" s="20">
        <f t="shared" si="19"/>
        <v>4.802853643643897E-10</v>
      </c>
      <c r="O116" s="20">
        <f>(N116+J116)*(1000/Volumes!D112)</f>
        <v>3.8587378441002094E-4</v>
      </c>
      <c r="P116" s="22">
        <f t="shared" si="14"/>
        <v>16.98191937810061</v>
      </c>
      <c r="Q116" s="5">
        <f t="shared" si="20"/>
        <v>4.6347300245487606</v>
      </c>
    </row>
    <row r="117" spans="1:17" x14ac:dyDescent="0.15">
      <c r="A117" t="s">
        <v>202</v>
      </c>
      <c r="B117" s="49">
        <v>897</v>
      </c>
      <c r="C117">
        <f t="shared" si="8"/>
        <v>8.9700000000000001E-4</v>
      </c>
      <c r="D117">
        <v>308.14999999999998</v>
      </c>
      <c r="E117">
        <f t="shared" si="16"/>
        <v>2.6462895903596996E-2</v>
      </c>
      <c r="F117" s="1">
        <v>2</v>
      </c>
      <c r="G117">
        <f t="shared" si="10"/>
        <v>0.01</v>
      </c>
      <c r="H117" s="19">
        <f t="shared" si="17"/>
        <v>4.9161123285617822E-7</v>
      </c>
      <c r="I117" s="19">
        <f t="shared" si="18"/>
        <v>5.6021457189118354E-11</v>
      </c>
      <c r="J117" s="4">
        <f>(Volumes!B113+Volumes!C113)/1000*B117*(10^-6)/($J$2*D117)</f>
        <v>7.8397583341786701E-7</v>
      </c>
      <c r="K117" s="24">
        <f>(Volumes!B113/1000)*C117*E117*((Volumes!D113+Volumes!C113)/Volumes!C113/1000)</f>
        <v>1.5666563632847495E-10</v>
      </c>
      <c r="L117" s="19">
        <f>J117*(H117/1000*Volumes!B113)/(G117/1000*Volumes!B113)</f>
        <v>3.8541132599600748E-11</v>
      </c>
      <c r="M117" s="19">
        <f>L117*(I117/1000*Volumes!B113)/(G117/1000*Volumes!B113)</f>
        <v>2.1591304099486671E-19</v>
      </c>
      <c r="N117" s="20">
        <f t="shared" si="19"/>
        <v>1.9520676914398873E-10</v>
      </c>
      <c r="O117" s="20">
        <f>(N117+J117)*(1000/Volumes!D113)</f>
        <v>1.568342080374022E-4</v>
      </c>
      <c r="P117" s="22">
        <f t="shared" si="14"/>
        <v>6.9021166615180336</v>
      </c>
      <c r="Q117" s="5">
        <f t="shared" si="20"/>
        <v>1.8837356727372376</v>
      </c>
    </row>
    <row r="118" spans="1:17" x14ac:dyDescent="0.15">
      <c r="A118" s="25" t="s">
        <v>203</v>
      </c>
      <c r="B118" s="49">
        <v>1403.49158536862</v>
      </c>
      <c r="C118">
        <f t="shared" si="8"/>
        <v>1.4034915853686201E-3</v>
      </c>
      <c r="D118">
        <v>308.14999999999998</v>
      </c>
      <c r="E118">
        <f t="shared" si="16"/>
        <v>2.6462895903596996E-2</v>
      </c>
      <c r="F118" s="1">
        <v>2</v>
      </c>
      <c r="G118">
        <f t="shared" si="10"/>
        <v>0.01</v>
      </c>
      <c r="H118" s="19">
        <f t="shared" si="17"/>
        <v>4.9161123285617822E-7</v>
      </c>
      <c r="I118" s="19">
        <f t="shared" si="18"/>
        <v>5.6021457189118354E-11</v>
      </c>
      <c r="J118" s="4">
        <f>(Volumes!B114+Volumes!C114)/1000*B118*(10^-6)/($J$2*D118)</f>
        <v>1.2266482556681462E-6</v>
      </c>
      <c r="K118" s="24">
        <f>(Volumes!B114/1000)*C118*E118*((Volumes!D114+Volumes!C114)/Volumes!C114/1000)</f>
        <v>2.4512698138621512E-10</v>
      </c>
      <c r="L118" s="19">
        <f>J118*(H118/1000*Volumes!B114)/(G118/1000*Volumes!B114)</f>
        <v>6.0303406124989798E-11</v>
      </c>
      <c r="M118" s="19">
        <f>L118*(I118/1000*Volumes!B114)/(G118/1000*Volumes!B114)</f>
        <v>3.3782846845891332E-19</v>
      </c>
      <c r="N118" s="20">
        <f t="shared" si="19"/>
        <v>3.0543038784903338E-10</v>
      </c>
      <c r="O118" s="20">
        <f>(N118+J118)*(1000/Volumes!D114)</f>
        <v>2.4539073721119905E-4</v>
      </c>
      <c r="P118" s="22">
        <f t="shared" si="14"/>
        <v>10.799400953927659</v>
      </c>
      <c r="Q118" s="5">
        <f t="shared" si="20"/>
        <v>2.9473881446437118</v>
      </c>
    </row>
    <row r="119" spans="1:17" x14ac:dyDescent="0.15">
      <c r="A119" s="25" t="s">
        <v>204</v>
      </c>
      <c r="B119" s="49">
        <v>1424.7567156385901</v>
      </c>
      <c r="C119">
        <f t="shared" si="8"/>
        <v>1.4247567156385902E-3</v>
      </c>
      <c r="D119">
        <v>308.14999999999998</v>
      </c>
      <c r="E119">
        <f t="shared" si="16"/>
        <v>2.6462895903596996E-2</v>
      </c>
      <c r="F119" s="1">
        <v>2</v>
      </c>
      <c r="G119">
        <f t="shared" si="10"/>
        <v>0.01</v>
      </c>
      <c r="H119" s="19">
        <f t="shared" si="17"/>
        <v>4.9161123285617822E-7</v>
      </c>
      <c r="I119" s="19">
        <f t="shared" si="18"/>
        <v>5.6021457189118354E-11</v>
      </c>
      <c r="J119" s="4">
        <f>(Volumes!B115+Volumes!C115)/1000*B119*(10^-6)/($J$2*D119)</f>
        <v>1.2452339281610553E-6</v>
      </c>
      <c r="K119" s="24">
        <f>(Volumes!B115/1000)*C119*E119*((Volumes!D115+Volumes!C115)/Volumes!C115/1000)</f>
        <v>2.488410451157054E-10</v>
      </c>
      <c r="L119" s="19">
        <f>J119*(H119/1000*Volumes!B115)/(G119/1000*Volumes!B115)</f>
        <v>6.1217098661759807E-11</v>
      </c>
      <c r="M119" s="19">
        <f>L119*(I119/1000*Volumes!B115)/(G119/1000*Volumes!B115)</f>
        <v>3.4294710719218115E-19</v>
      </c>
      <c r="N119" s="20">
        <f t="shared" si="19"/>
        <v>3.100581441204123E-10</v>
      </c>
      <c r="O119" s="20">
        <f>(N119+J119)*(1000/Volumes!D115)</f>
        <v>2.4910879726103513E-4</v>
      </c>
      <c r="P119" s="22">
        <f t="shared" si="14"/>
        <v>10.963029058660895</v>
      </c>
      <c r="Q119" s="5">
        <f t="shared" si="20"/>
        <v>2.9920457639022926</v>
      </c>
    </row>
    <row r="120" spans="1:17" x14ac:dyDescent="0.15">
      <c r="A120" s="25" t="s">
        <v>205</v>
      </c>
      <c r="B120" s="49">
        <v>1033.37115833752</v>
      </c>
      <c r="C120">
        <f t="shared" si="8"/>
        <v>1.0333711583375199E-3</v>
      </c>
      <c r="D120">
        <v>308.14999999999998</v>
      </c>
      <c r="E120">
        <f t="shared" si="16"/>
        <v>2.6462895903596996E-2</v>
      </c>
      <c r="F120" s="1">
        <v>2</v>
      </c>
      <c r="G120">
        <f t="shared" si="10"/>
        <v>0.01</v>
      </c>
      <c r="H120" s="19">
        <f t="shared" si="17"/>
        <v>4.9161123285617822E-7</v>
      </c>
      <c r="I120" s="19">
        <f t="shared" si="18"/>
        <v>5.6021457189118354E-11</v>
      </c>
      <c r="J120" s="4">
        <f>(Volumes!B116+Volumes!C116)/1000*B120*(10^-6)/($J$2*D120)</f>
        <v>9.0316389641877785E-7</v>
      </c>
      <c r="K120" s="24">
        <f>(Volumes!B116/1000)*C120*E120*((Volumes!D116+Volumes!C116)/Volumes!C116/1000)</f>
        <v>1.8048355639291058E-10</v>
      </c>
      <c r="L120" s="19">
        <f>J120*(H120/1000*Volumes!B116)/(G120/1000*Volumes!B116)</f>
        <v>4.4400551658962505E-11</v>
      </c>
      <c r="M120" s="19">
        <f>L120*(I120/1000*Volumes!B116)/(G120/1000*Volumes!B116)</f>
        <v>2.4873836039358058E-19</v>
      </c>
      <c r="N120" s="20">
        <f t="shared" si="19"/>
        <v>2.2488410830061144E-10</v>
      </c>
      <c r="O120" s="20">
        <f>(N120+J120)*(1000/Volumes!D116)</f>
        <v>1.8067775610541571E-4</v>
      </c>
      <c r="P120" s="22">
        <f t="shared" si="14"/>
        <v>7.9514473684432394</v>
      </c>
      <c r="Q120" s="5">
        <f t="shared" si="20"/>
        <v>2.1701205285821477</v>
      </c>
    </row>
    <row r="121" spans="1:17" x14ac:dyDescent="0.15">
      <c r="A121" s="25" t="s">
        <v>206</v>
      </c>
      <c r="B121" s="49">
        <v>909</v>
      </c>
      <c r="C121">
        <f t="shared" si="8"/>
        <v>9.0899999999999998E-4</v>
      </c>
      <c r="D121">
        <v>308.14999999999998</v>
      </c>
      <c r="E121">
        <f t="shared" si="16"/>
        <v>2.6462895903596996E-2</v>
      </c>
      <c r="F121" s="1">
        <v>2</v>
      </c>
      <c r="G121">
        <f t="shared" si="10"/>
        <v>0.01</v>
      </c>
      <c r="H121" s="19">
        <f t="shared" si="17"/>
        <v>4.9161123285617822E-7</v>
      </c>
      <c r="I121" s="19">
        <f t="shared" si="18"/>
        <v>5.6021457189118354E-11</v>
      </c>
      <c r="J121" s="4">
        <f>(Volumes!B117+Volumes!C117)/1000*B121*(10^-6)/($J$2*D121)</f>
        <v>7.9446380443349067E-7</v>
      </c>
      <c r="K121" s="24">
        <f>(Volumes!B117/1000)*C121*E121*((Volumes!D117+Volumes!C117)/Volumes!C117/1000)</f>
        <v>1.5876149768403981E-10</v>
      </c>
      <c r="L121" s="19">
        <f>J121*(H121/1000*Volumes!B117)/(G121/1000*Volumes!B117)</f>
        <v>3.9056733035715804E-11</v>
      </c>
      <c r="M121" s="19">
        <f>L121*(I121/1000*Volumes!B117)/(G121/1000*Volumes!B117)</f>
        <v>2.1880150977071777E-19</v>
      </c>
      <c r="N121" s="20">
        <f t="shared" si="19"/>
        <v>1.9781823093855712E-10</v>
      </c>
      <c r="O121" s="20">
        <f>(N121+J121)*(1000/Volumes!D117)</f>
        <v>1.5893232453288586E-4</v>
      </c>
      <c r="P121" s="22">
        <f t="shared" si="14"/>
        <v>6.9944526703677745</v>
      </c>
      <c r="Q121" s="5">
        <f t="shared" si="20"/>
        <v>1.9089361499644923</v>
      </c>
    </row>
    <row r="122" spans="1:17" x14ac:dyDescent="0.15">
      <c r="A122" s="25" t="s">
        <v>207</v>
      </c>
      <c r="B122" s="49">
        <v>1170.6259047744099</v>
      </c>
      <c r="C122">
        <f t="shared" si="8"/>
        <v>1.1706259047744099E-3</v>
      </c>
      <c r="D122">
        <v>308.14999999999998</v>
      </c>
      <c r="E122">
        <f t="shared" si="16"/>
        <v>2.6462895903596996E-2</v>
      </c>
      <c r="F122" s="1">
        <v>2</v>
      </c>
      <c r="G122">
        <f t="shared" si="10"/>
        <v>0.01</v>
      </c>
      <c r="H122" s="19">
        <f t="shared" si="17"/>
        <v>4.9161123285617822E-7</v>
      </c>
      <c r="I122" s="19">
        <f t="shared" si="18"/>
        <v>5.6021457189118354E-11</v>
      </c>
      <c r="J122" s="4">
        <f>(Volumes!B118+Volumes!C118)/1000*B122*(10^-6)/($J$2*D122)</f>
        <v>1.0231242132843509E-6</v>
      </c>
      <c r="K122" s="24">
        <f>(Volumes!B118/1000)*C122*E122*((Volumes!D118+Volumes!C118)/Volumes!C118/1000)</f>
        <v>2.0445579963665509E-10</v>
      </c>
      <c r="L122" s="19">
        <f>J122*(H122/1000*Volumes!B118)/(G122/1000*Volumes!B118)</f>
        <v>5.029793558577272E-11</v>
      </c>
      <c r="M122" s="19">
        <f>L122*(I122/1000*Volumes!B118)/(G122/1000*Volumes!B118)</f>
        <v>2.8177636451193989E-19</v>
      </c>
      <c r="N122" s="20">
        <f t="shared" si="19"/>
        <v>2.5475373550420418E-10</v>
      </c>
      <c r="O122" s="20">
        <f>(N122+J122)*(1000/Volumes!D118)</f>
        <v>2.0467579340397102E-4</v>
      </c>
      <c r="P122" s="22">
        <f t="shared" si="14"/>
        <v>9.0075769919153608</v>
      </c>
      <c r="Q122" s="5">
        <f t="shared" si="20"/>
        <v>2.4583609545750957</v>
      </c>
    </row>
    <row r="123" spans="1:17" x14ac:dyDescent="0.15">
      <c r="A123" s="25" t="s">
        <v>208</v>
      </c>
      <c r="B123" s="49">
        <v>920.35705681935997</v>
      </c>
      <c r="C123">
        <f t="shared" si="8"/>
        <v>9.2035705681935999E-4</v>
      </c>
      <c r="D123">
        <v>308.14999999999998</v>
      </c>
      <c r="E123">
        <f t="shared" si="16"/>
        <v>2.6462895903596996E-2</v>
      </c>
      <c r="F123" s="1">
        <v>2</v>
      </c>
      <c r="G123">
        <f t="shared" si="10"/>
        <v>0.01</v>
      </c>
      <c r="H123" s="19">
        <f t="shared" si="17"/>
        <v>4.9161123285617822E-7</v>
      </c>
      <c r="I123" s="19">
        <f t="shared" si="18"/>
        <v>5.6021457189118354E-11</v>
      </c>
      <c r="J123" s="4">
        <f>(Volumes!B119+Volumes!C119)/1000*B123*(10^-6)/($J$2*D123)</f>
        <v>8.043898446621772E-7</v>
      </c>
      <c r="K123" s="24">
        <f>(Volumes!B119/1000)*C123*E123*((Volumes!D119+Volumes!C119)/Volumes!C119/1000)</f>
        <v>1.6074506572576077E-10</v>
      </c>
      <c r="L123" s="19">
        <f>J123*(H123/1000*Volumes!B119)/(G123/1000*Volumes!B119)</f>
        <v>3.9544708323136268E-11</v>
      </c>
      <c r="M123" s="19">
        <f>L123*(I123/1000*Volumes!B119)/(G123/1000*Volumes!B119)</f>
        <v>2.2153521843807507E-19</v>
      </c>
      <c r="N123" s="20">
        <f t="shared" si="19"/>
        <v>2.0028977427043228E-10</v>
      </c>
      <c r="O123" s="20">
        <f>(N123+J123)*(1000/Volumes!D119)</f>
        <v>1.6091802688728951E-4</v>
      </c>
      <c r="P123" s="22">
        <f t="shared" si="14"/>
        <v>7.0818414452827243</v>
      </c>
      <c r="Q123" s="5">
        <f t="shared" si="20"/>
        <v>1.9327864209432342</v>
      </c>
    </row>
    <row r="124" spans="1:17" x14ac:dyDescent="0.15">
      <c r="A124" t="s">
        <v>209</v>
      </c>
      <c r="B124" s="49">
        <v>1211.9431491599901</v>
      </c>
      <c r="C124">
        <f t="shared" si="8"/>
        <v>1.21194314915999E-3</v>
      </c>
      <c r="D124">
        <v>308.14999999999998</v>
      </c>
      <c r="E124">
        <f t="shared" si="16"/>
        <v>2.6462895903596996E-2</v>
      </c>
      <c r="F124" s="1">
        <v>2</v>
      </c>
      <c r="G124">
        <f t="shared" si="10"/>
        <v>0.01</v>
      </c>
      <c r="H124" s="19">
        <f t="shared" si="17"/>
        <v>4.9161123285617822E-7</v>
      </c>
      <c r="I124" s="19">
        <f t="shared" si="18"/>
        <v>5.6021457189118354E-11</v>
      </c>
      <c r="J124" s="4">
        <f>(Volumes!B120+Volumes!C120)/1000*B124*(10^-6)/($J$2*D124)</f>
        <v>1.0592353850811344E-6</v>
      </c>
      <c r="K124" s="24">
        <f>(Volumes!B120/1000)*C124*E124*((Volumes!D120+Volumes!C120)/Volumes!C120/1000)</f>
        <v>2.1167206762216903E-10</v>
      </c>
      <c r="L124" s="19">
        <f>J124*(H124/1000*Volumes!B120)/(G124/1000*Volumes!B120)</f>
        <v>5.2073201354462519E-11</v>
      </c>
      <c r="M124" s="19">
        <f>L124*(I124/1000*Volumes!B120)/(G124/1000*Volumes!B120)</f>
        <v>2.9172166203793619E-19</v>
      </c>
      <c r="N124" s="20">
        <f t="shared" si="19"/>
        <v>2.6374526926835323E-10</v>
      </c>
      <c r="O124" s="20">
        <f>(N124+J124)*(1000/Volumes!D120)</f>
        <v>2.1189982607008054E-4</v>
      </c>
      <c r="P124" s="22">
        <f t="shared" si="14"/>
        <v>9.3254994455181759</v>
      </c>
      <c r="Q124" s="5">
        <f t="shared" si="20"/>
        <v>2.5451288109277375</v>
      </c>
    </row>
    <row r="125" spans="1:17" x14ac:dyDescent="0.15">
      <c r="A125" t="s">
        <v>210</v>
      </c>
      <c r="B125" s="49">
        <v>1385</v>
      </c>
      <c r="C125">
        <f t="shared" si="8"/>
        <v>1.3849999999999999E-3</v>
      </c>
      <c r="D125">
        <v>308.14999999999998</v>
      </c>
      <c r="E125">
        <f t="shared" si="16"/>
        <v>2.6462895903596996E-2</v>
      </c>
      <c r="F125" s="1">
        <v>2</v>
      </c>
      <c r="G125">
        <f t="shared" si="10"/>
        <v>0.01</v>
      </c>
      <c r="H125" s="19">
        <f t="shared" si="17"/>
        <v>4.9161123285617822E-7</v>
      </c>
      <c r="I125" s="19">
        <f t="shared" si="18"/>
        <v>5.6021457189118354E-11</v>
      </c>
      <c r="J125" s="4">
        <f>(Volumes!B121+Volumes!C121)/1000*B125*(10^-6)/($J$2*D125)</f>
        <v>1.2104866547198952E-6</v>
      </c>
      <c r="K125" s="24">
        <f>(Volumes!B121/1000)*C125*E125*((Volumes!D121+Volumes!C121)/Volumes!C121/1000)</f>
        <v>2.4189733145478013E-10</v>
      </c>
      <c r="L125" s="19">
        <f>J125*(H125/1000*Volumes!B121)/(G125/1000*Volumes!B121)</f>
        <v>5.9508883668279868E-11</v>
      </c>
      <c r="M125" s="19">
        <f>L125*(I125/1000*Volumes!B121)/(G125/1000*Volumes!B121)</f>
        <v>3.333774378794765E-19</v>
      </c>
      <c r="N125" s="20">
        <f t="shared" si="19"/>
        <v>3.0140621545643742E-10</v>
      </c>
      <c r="O125" s="20">
        <f>(N125+J125)*(1000/Volumes!D121)</f>
        <v>2.4215761218707033E-4</v>
      </c>
      <c r="P125" s="22">
        <f t="shared" si="14"/>
        <v>10.657114354740779</v>
      </c>
      <c r="Q125" s="5">
        <f t="shared" si="20"/>
        <v>2.9085550799789019</v>
      </c>
    </row>
    <row r="126" spans="1:17" x14ac:dyDescent="0.15">
      <c r="A126" t="s">
        <v>211</v>
      </c>
      <c r="B126" s="49">
        <v>1105.3179961546</v>
      </c>
      <c r="C126">
        <f t="shared" si="8"/>
        <v>1.1053179961546E-3</v>
      </c>
      <c r="D126">
        <v>308.14999999999998</v>
      </c>
      <c r="E126">
        <f t="shared" si="16"/>
        <v>2.6462895903596996E-2</v>
      </c>
      <c r="F126" s="1">
        <v>2</v>
      </c>
      <c r="G126">
        <f t="shared" si="10"/>
        <v>0.01</v>
      </c>
      <c r="H126" s="19">
        <f t="shared" si="17"/>
        <v>4.9161123285617822E-7</v>
      </c>
      <c r="I126" s="19">
        <f t="shared" si="18"/>
        <v>5.6021457189118354E-11</v>
      </c>
      <c r="J126" s="4">
        <f>(Volumes!B122+Volumes!C122)/1000*B126*(10^-6)/($J$2*D126)</f>
        <v>9.6604525889305394E-7</v>
      </c>
      <c r="K126" s="24">
        <f>(Volumes!B122/1000)*C126*E126*((Volumes!D122+Volumes!C122)/Volumes!C122/1000)</f>
        <v>1.9304943947923656E-10</v>
      </c>
      <c r="L126" s="19">
        <f>J126*(H126/1000*Volumes!B122)/(G126/1000*Volumes!B122)</f>
        <v>4.7491870071928016E-11</v>
      </c>
      <c r="M126" s="19">
        <f>L126*(I126/1000*Volumes!B122)/(G126/1000*Volumes!B122)</f>
        <v>2.6605637660656867E-19</v>
      </c>
      <c r="N126" s="20">
        <f t="shared" si="19"/>
        <v>2.4054130981722097E-10</v>
      </c>
      <c r="O126" s="20">
        <f>(N126+J126)*(1000/Volumes!D122)</f>
        <v>1.9325716004057423E-4</v>
      </c>
      <c r="P126" s="22">
        <f t="shared" si="14"/>
        <v>8.5050543562256316</v>
      </c>
      <c r="Q126" s="5">
        <f t="shared" si="20"/>
        <v>2.321211749247337</v>
      </c>
    </row>
    <row r="127" spans="1:17" x14ac:dyDescent="0.15">
      <c r="A127" t="s">
        <v>212</v>
      </c>
      <c r="B127" s="49">
        <v>1285.1411702108101</v>
      </c>
      <c r="C127">
        <f t="shared" si="8"/>
        <v>1.2851411702108101E-3</v>
      </c>
      <c r="D127">
        <v>308.14999999999998</v>
      </c>
      <c r="E127">
        <f t="shared" si="16"/>
        <v>2.6462895903596996E-2</v>
      </c>
      <c r="F127" s="1">
        <v>2</v>
      </c>
      <c r="G127">
        <f t="shared" si="10"/>
        <v>0.01</v>
      </c>
      <c r="H127" s="19">
        <f t="shared" si="17"/>
        <v>4.9161123285617822E-7</v>
      </c>
      <c r="I127" s="19">
        <f t="shared" si="18"/>
        <v>5.6021457189118354E-11</v>
      </c>
      <c r="J127" s="4">
        <f>(Volumes!B123+Volumes!C123)/1000*B127*(10^-6)/($J$2*D127)</f>
        <v>1.1232102786796352E-6</v>
      </c>
      <c r="K127" s="24">
        <f>(Volumes!B123/1000)*C127*E127*((Volumes!D123+Volumes!C123)/Volumes!C123/1000)</f>
        <v>2.2445647625752226E-10</v>
      </c>
      <c r="L127" s="19">
        <f>J127*(H127/1000*Volumes!B123)/(G127/1000*Volumes!B123)</f>
        <v>5.5218278985842706E-11</v>
      </c>
      <c r="M127" s="19">
        <f>L127*(I127/1000*Volumes!B123)/(G127/1000*Volumes!B123)</f>
        <v>3.0934084522621809E-19</v>
      </c>
      <c r="N127" s="20">
        <f t="shared" si="19"/>
        <v>2.7967475555270581E-10</v>
      </c>
      <c r="O127" s="20">
        <f>(N127+J127)*(1000/Volumes!D123)</f>
        <v>2.2469799068703758E-4</v>
      </c>
      <c r="P127" s="22">
        <f t="shared" si="14"/>
        <v>9.8887338721458367</v>
      </c>
      <c r="Q127" s="5">
        <f t="shared" si="20"/>
        <v>2.6988475661420082</v>
      </c>
    </row>
    <row r="128" spans="1:17" x14ac:dyDescent="0.15">
      <c r="A128" t="s">
        <v>213</v>
      </c>
      <c r="B128" s="49">
        <v>2403</v>
      </c>
      <c r="C128">
        <f t="shared" si="8"/>
        <v>2.4030000000000002E-3</v>
      </c>
      <c r="D128">
        <v>308.14999999999998</v>
      </c>
      <c r="E128">
        <f t="shared" si="16"/>
        <v>2.6462895903596996E-2</v>
      </c>
      <c r="F128" s="1">
        <v>2</v>
      </c>
      <c r="G128">
        <f t="shared" si="10"/>
        <v>0.01</v>
      </c>
      <c r="H128" s="19">
        <f t="shared" si="17"/>
        <v>4.9161123285617822E-7</v>
      </c>
      <c r="I128" s="19">
        <f t="shared" si="18"/>
        <v>5.6021457189118354E-11</v>
      </c>
      <c r="J128" s="4">
        <f>(Volumes!B124+Volumes!C124)/1000*B128*(10^-6)/($J$2*D128)</f>
        <v>2.1002161958786339E-6</v>
      </c>
      <c r="K128" s="24">
        <f>(Volumes!B124/1000)*C128*E128*((Volumes!D124+Volumes!C124)/Volumes!C124/1000)</f>
        <v>4.1969623645186761E-10</v>
      </c>
      <c r="L128" s="19">
        <f>J128*(H128/1000*Volumes!B124)/(G128/1000*Volumes!B124)</f>
        <v>1.032489873320408E-10</v>
      </c>
      <c r="M128" s="19">
        <f>L128*(I128/1000*Volumes!B124)/(G128/1000*Volumes!B124)</f>
        <v>5.7841587236417468E-19</v>
      </c>
      <c r="N128" s="20">
        <f t="shared" si="19"/>
        <v>5.2294522436232426E-10</v>
      </c>
      <c r="O128" s="20">
        <f>(N128+J128)*(1000/Volumes!D124)</f>
        <v>4.2014782822059925E-4</v>
      </c>
      <c r="P128" s="22">
        <f t="shared" si="14"/>
        <v>18.490285772160352</v>
      </c>
      <c r="Q128" s="5">
        <f t="shared" si="20"/>
        <v>5.0463955647576171</v>
      </c>
    </row>
    <row r="129" spans="1:17" x14ac:dyDescent="0.15">
      <c r="A129" t="s">
        <v>214</v>
      </c>
      <c r="B129" s="49">
        <v>1344</v>
      </c>
      <c r="C129">
        <f t="shared" si="8"/>
        <v>1.3439999999999999E-3</v>
      </c>
      <c r="D129">
        <v>308.14999999999998</v>
      </c>
      <c r="E129">
        <f t="shared" si="16"/>
        <v>2.6462895903596996E-2</v>
      </c>
      <c r="F129" s="1">
        <v>2</v>
      </c>
      <c r="G129">
        <f t="shared" si="10"/>
        <v>0.01</v>
      </c>
      <c r="H129" s="19">
        <f t="shared" si="17"/>
        <v>4.9161123285617822E-7</v>
      </c>
      <c r="I129" s="19">
        <f t="shared" si="18"/>
        <v>5.6021457189118354E-11</v>
      </c>
      <c r="J129" s="4">
        <f>(Volumes!B125+Volumes!C125)/1000*B129*(10^-6)/($J$2*D129)</f>
        <v>1.1746527537498475E-6</v>
      </c>
      <c r="K129" s="24">
        <f>(Volumes!B125/1000)*C129*E129*((Volumes!D125+Volumes!C125)/Volumes!C125/1000)</f>
        <v>2.3473647182326675E-10</v>
      </c>
      <c r="L129" s="19">
        <f>J129*(H129/1000*Volumes!B125)/(G129/1000*Volumes!B125)</f>
        <v>5.7747248844886739E-11</v>
      </c>
      <c r="M129" s="19">
        <f>L129*(I129/1000*Volumes!B125)/(G129/1000*Volumes!B125)</f>
        <v>3.2350850289531866E-19</v>
      </c>
      <c r="N129" s="20">
        <f t="shared" si="19"/>
        <v>2.92483720991662E-10</v>
      </c>
      <c r="O129" s="20">
        <f>(N129+J129)*(1000/Volumes!D125)</f>
        <v>2.3498904749416784E-4</v>
      </c>
      <c r="P129" s="22">
        <f t="shared" si="14"/>
        <v>10.341632991170833</v>
      </c>
      <c r="Q129" s="5">
        <f t="shared" si="20"/>
        <v>2.8224534494524498</v>
      </c>
    </row>
    <row r="130" spans="1:17" x14ac:dyDescent="0.15">
      <c r="A130" t="s">
        <v>215</v>
      </c>
      <c r="B130" s="49">
        <v>1182.59248526593</v>
      </c>
      <c r="C130">
        <f t="shared" si="8"/>
        <v>1.18259248526593E-3</v>
      </c>
      <c r="D130">
        <v>308.14999999999998</v>
      </c>
      <c r="E130">
        <f t="shared" si="16"/>
        <v>2.6462895903596996E-2</v>
      </c>
      <c r="F130" s="1">
        <v>2</v>
      </c>
      <c r="G130">
        <f t="shared" si="10"/>
        <v>0.01</v>
      </c>
      <c r="H130" s="19">
        <f t="shared" si="17"/>
        <v>4.9161123285617822E-7</v>
      </c>
      <c r="I130" s="19">
        <f t="shared" si="18"/>
        <v>5.6021457189118354E-11</v>
      </c>
      <c r="J130" s="4">
        <f>(Volumes!B126+Volumes!C126)/1000*B130*(10^-6)/($J$2*D130)</f>
        <v>1.0335829757302833E-6</v>
      </c>
      <c r="K130" s="24">
        <f>(Volumes!B126/1000)*C130*E130*((Volumes!D126+Volumes!C126)/Volumes!C126/1000)</f>
        <v>2.0654582410419122E-10</v>
      </c>
      <c r="L130" s="19">
        <f>J130*(H130/1000*Volumes!B126)/(G130/1000*Volumes!B126)</f>
        <v>5.0812100095792201E-11</v>
      </c>
      <c r="M130" s="19">
        <f>L130*(I130/1000*Volumes!B126)/(G130/1000*Volumes!B126)</f>
        <v>2.8465678902056195E-19</v>
      </c>
      <c r="N130" s="20">
        <f t="shared" si="19"/>
        <v>2.573579244846402E-10</v>
      </c>
      <c r="O130" s="20">
        <f>(N130+J130)*(1000/Volumes!D126)</f>
        <v>2.0676806673095358E-4</v>
      </c>
      <c r="P130" s="22">
        <f t="shared" si="14"/>
        <v>9.0996558487625361</v>
      </c>
      <c r="Q130" s="5">
        <f t="shared" si="20"/>
        <v>2.4834912495054833</v>
      </c>
    </row>
    <row r="131" spans="1:17" x14ac:dyDescent="0.15">
      <c r="A131" t="s">
        <v>216</v>
      </c>
      <c r="B131" s="49">
        <v>1232.4926979909001</v>
      </c>
      <c r="C131">
        <f t="shared" si="8"/>
        <v>1.2324926979909001E-3</v>
      </c>
      <c r="D131">
        <v>308.14999999999998</v>
      </c>
      <c r="E131">
        <f t="shared" si="16"/>
        <v>2.6462895903596996E-2</v>
      </c>
      <c r="F131" s="1">
        <v>2</v>
      </c>
      <c r="G131">
        <f t="shared" si="10"/>
        <v>0.01</v>
      </c>
      <c r="H131" s="19">
        <f t="shared" si="17"/>
        <v>4.9161123285617822E-7</v>
      </c>
      <c r="I131" s="19">
        <f t="shared" si="18"/>
        <v>5.6021457189118354E-11</v>
      </c>
      <c r="J131" s="4">
        <f>(Volumes!B127+Volumes!C127)/1000*B131*(10^-6)/($J$2*D131)</f>
        <v>1.0771956411246949E-6</v>
      </c>
      <c r="K131" s="24">
        <f>(Volumes!B127/1000)*C131*E131*((Volumes!D127+Volumes!C127)/Volumes!C127/1000)</f>
        <v>2.1526115139458556E-10</v>
      </c>
      <c r="L131" s="19">
        <f>J131*(H131/1000*Volumes!B127)/(G131/1000*Volumes!B127)</f>
        <v>5.2956147716061269E-11</v>
      </c>
      <c r="M131" s="19">
        <f>L131*(I131/1000*Volumes!B127)/(G131/1000*Volumes!B127)</f>
        <v>2.966680562175954E-19</v>
      </c>
      <c r="N131" s="20">
        <f t="shared" si="19"/>
        <v>2.682172994073149E-10</v>
      </c>
      <c r="O131" s="20">
        <f>(N131+J131)*(1000/Volumes!D127)</f>
        <v>2.1549277168482044E-4</v>
      </c>
      <c r="P131" s="22">
        <f t="shared" si="14"/>
        <v>9.4836213890772623</v>
      </c>
      <c r="Q131" s="5">
        <f t="shared" si="20"/>
        <v>2.588283680706378</v>
      </c>
    </row>
    <row r="132" spans="1:17" x14ac:dyDescent="0.15">
      <c r="A132" t="s">
        <v>217</v>
      </c>
      <c r="B132" s="49">
        <v>1356</v>
      </c>
      <c r="C132">
        <f t="shared" si="8"/>
        <v>1.356E-3</v>
      </c>
      <c r="D132">
        <v>308.14999999999998</v>
      </c>
      <c r="E132">
        <f t="shared" si="16"/>
        <v>2.6462895903596996E-2</v>
      </c>
      <c r="F132" s="1">
        <v>2</v>
      </c>
      <c r="G132">
        <f t="shared" si="10"/>
        <v>0.01</v>
      </c>
      <c r="H132" s="19">
        <f t="shared" si="17"/>
        <v>4.9161123285617822E-7</v>
      </c>
      <c r="I132" s="19">
        <f t="shared" si="18"/>
        <v>5.6021457189118354E-11</v>
      </c>
      <c r="J132" s="4">
        <f>(Volumes!B128+Volumes!C128)/1000*B132*(10^-6)/($J$2*D132)</f>
        <v>1.1851407247654711E-6</v>
      </c>
      <c r="K132" s="24">
        <f>(Volumes!B128/1000)*C132*E132*((Volumes!D128+Volumes!C128)/Volumes!C128/1000)</f>
        <v>2.3683233317883166E-10</v>
      </c>
      <c r="L132" s="19">
        <f>J132*(H132/1000*Volumes!B128)/(G132/1000*Volumes!B128)</f>
        <v>5.8262849281001795E-11</v>
      </c>
      <c r="M132" s="19">
        <f>L132*(I132/1000*Volumes!B128)/(G132/1000*Volumes!B128)</f>
        <v>3.2639697167116969E-19</v>
      </c>
      <c r="N132" s="20">
        <f t="shared" si="19"/>
        <v>2.9509518278623043E-10</v>
      </c>
      <c r="O132" s="20">
        <f>(N132+J132)*(1000/Volumes!D128)</f>
        <v>2.3708716398965148E-4</v>
      </c>
      <c r="P132" s="22">
        <f t="shared" si="14"/>
        <v>10.433969000020571</v>
      </c>
      <c r="Q132" s="5">
        <f t="shared" si="20"/>
        <v>2.8476539266797034</v>
      </c>
    </row>
    <row r="133" spans="1:17" x14ac:dyDescent="0.15">
      <c r="A133" t="s">
        <v>218</v>
      </c>
      <c r="B133" s="49">
        <v>1142.7000689121001</v>
      </c>
      <c r="C133">
        <f t="shared" si="8"/>
        <v>1.1427000689121E-3</v>
      </c>
      <c r="D133">
        <v>308.14999999999998</v>
      </c>
      <c r="E133">
        <f t="shared" si="16"/>
        <v>2.6462895903596996E-2</v>
      </c>
      <c r="F133" s="1">
        <v>2</v>
      </c>
      <c r="G133">
        <f t="shared" si="10"/>
        <v>0.01</v>
      </c>
      <c r="H133" s="19">
        <f t="shared" si="17"/>
        <v>4.9161123285617822E-7</v>
      </c>
      <c r="I133" s="19">
        <f t="shared" si="18"/>
        <v>5.6021457189118354E-11</v>
      </c>
      <c r="J133" s="4">
        <f>(Volumes!B129+Volumes!C129)/1000*B133*(10^-6)/($J$2*D133)</f>
        <v>9.987171001917698E-7</v>
      </c>
      <c r="K133" s="24">
        <f>(Volumes!B129/1000)*C133*E133*((Volumes!D129+Volumes!C129)/Volumes!C129/1000)</f>
        <v>1.9957840961951651E-10</v>
      </c>
      <c r="L133" s="19">
        <f>J133*(H133/1000*Volumes!B129)/(G133/1000*Volumes!B129)</f>
        <v>4.9098054489982328E-11</v>
      </c>
      <c r="M133" s="19">
        <f>L133*(I133/1000*Volumes!B129)/(G133/1000*Volumes!B129)</f>
        <v>2.7505445576795453E-19</v>
      </c>
      <c r="N133" s="20">
        <f t="shared" si="19"/>
        <v>2.4867646438455331E-10</v>
      </c>
      <c r="O133" s="20">
        <f>(N133+J133)*(1000/Volumes!D129)</f>
        <v>1.9979315533123087E-4</v>
      </c>
      <c r="P133" s="22">
        <f t="shared" si="14"/>
        <v>8.7926969729721396</v>
      </c>
      <c r="Q133" s="5">
        <f t="shared" si="20"/>
        <v>2.3997155886834141</v>
      </c>
    </row>
    <row r="134" spans="1:17" x14ac:dyDescent="0.15">
      <c r="A134" t="s">
        <v>219</v>
      </c>
      <c r="B134" s="49">
        <v>938</v>
      </c>
      <c r="C134">
        <f t="shared" si="8"/>
        <v>9.3800000000000003E-4</v>
      </c>
      <c r="D134">
        <v>308.14999999999998</v>
      </c>
      <c r="E134">
        <f t="shared" si="16"/>
        <v>2.6462895903596996E-2</v>
      </c>
      <c r="F134" s="1">
        <v>2</v>
      </c>
      <c r="G134">
        <f t="shared" si="10"/>
        <v>0.01</v>
      </c>
      <c r="H134" s="19">
        <f t="shared" si="17"/>
        <v>4.9161123285617822E-7</v>
      </c>
      <c r="I134" s="19">
        <f t="shared" si="18"/>
        <v>5.6021457189118354E-11</v>
      </c>
      <c r="J134" s="4">
        <f>(Volumes!B130+Volumes!C130)/1000*B134*(10^-6)/($J$2*D134)</f>
        <v>8.1980973438791443E-7</v>
      </c>
      <c r="K134" s="24">
        <f>(Volumes!B130/1000)*C134*E134*((Volumes!D130+Volumes!C130)/Volumes!C130/1000)</f>
        <v>1.638264959599883E-10</v>
      </c>
      <c r="L134" s="19">
        <f>J134*(H134/1000*Volumes!B130)/(G134/1000*Volumes!B130)</f>
        <v>4.0302767422993864E-11</v>
      </c>
      <c r="M134" s="19">
        <f>L134*(I134/1000*Volumes!B130)/(G134/1000*Volumes!B130)</f>
        <v>2.2578197597902444E-19</v>
      </c>
      <c r="N134" s="20">
        <f t="shared" si="19"/>
        <v>2.0412926360876413E-10</v>
      </c>
      <c r="O134" s="20">
        <f>(N134+J134)*(1000/Volumes!D130)</f>
        <v>1.6400277273030464E-4</v>
      </c>
      <c r="P134" s="22">
        <f t="shared" si="14"/>
        <v>7.2175980250879768</v>
      </c>
      <c r="Q134" s="5">
        <f t="shared" si="20"/>
        <v>1.9698373032636889</v>
      </c>
    </row>
    <row r="135" spans="1:17" x14ac:dyDescent="0.15">
      <c r="A135" t="s">
        <v>220</v>
      </c>
      <c r="B135" s="49">
        <v>1252.3668900810601</v>
      </c>
      <c r="C135">
        <f t="shared" ref="C135:C198" si="21">B135/1000000</f>
        <v>1.2523668900810601E-3</v>
      </c>
      <c r="D135">
        <v>308.14999999999998</v>
      </c>
      <c r="E135">
        <f t="shared" si="16"/>
        <v>2.6462895903596996E-2</v>
      </c>
      <c r="F135" s="1">
        <v>2</v>
      </c>
      <c r="G135">
        <f t="shared" ref="G135:G198" si="22">10^-F135</f>
        <v>0.01</v>
      </c>
      <c r="H135" s="19">
        <f t="shared" si="17"/>
        <v>4.9161123285617822E-7</v>
      </c>
      <c r="I135" s="19">
        <f t="shared" si="18"/>
        <v>5.6021457189118354E-11</v>
      </c>
      <c r="J135" s="4">
        <f>(Volumes!B131+Volumes!C131)/1000*B135*(10^-6)/($J$2*D135)</f>
        <v>1.0945656370080727E-6</v>
      </c>
      <c r="K135" s="24">
        <f>(Volumes!B131/1000)*C135*E135*((Volumes!D131+Volumes!C131)/Volumes!C131/1000)</f>
        <v>2.1873228065915549E-10</v>
      </c>
      <c r="L135" s="19">
        <f>J135*(H135/1000*Volumes!B131)/(G135/1000*Volumes!B131)</f>
        <v>5.3810076225154671E-11</v>
      </c>
      <c r="M135" s="19">
        <f>L135*(I135/1000*Volumes!B131)/(G135/1000*Volumes!B131)</f>
        <v>3.0145188815906974E-19</v>
      </c>
      <c r="N135" s="20">
        <f t="shared" si="19"/>
        <v>2.7254235718576208E-10</v>
      </c>
      <c r="O135" s="20">
        <f>(N135+J135)*(1000/Volumes!D131)</f>
        <v>2.1896763587305167E-4</v>
      </c>
      <c r="P135" s="22">
        <f t="shared" ref="P135:P198" si="23">O135*44.009*1000</f>
        <v>9.6365466871371304</v>
      </c>
      <c r="Q135" s="5">
        <f t="shared" si="20"/>
        <v>2.6300202744712231</v>
      </c>
    </row>
    <row r="136" spans="1:17" x14ac:dyDescent="0.15">
      <c r="A136" t="s">
        <v>221</v>
      </c>
      <c r="B136" s="49">
        <v>960.30832711917196</v>
      </c>
      <c r="C136">
        <f t="shared" si="21"/>
        <v>9.6030832711917191E-4</v>
      </c>
      <c r="D136">
        <v>308.14999999999998</v>
      </c>
      <c r="E136">
        <f t="shared" si="16"/>
        <v>2.6462895903596996E-2</v>
      </c>
      <c r="F136" s="1">
        <v>2</v>
      </c>
      <c r="G136">
        <f t="shared" si="22"/>
        <v>0.01</v>
      </c>
      <c r="H136" s="19">
        <f t="shared" si="17"/>
        <v>4.9161123285617822E-7</v>
      </c>
      <c r="I136" s="19">
        <f t="shared" si="18"/>
        <v>5.6021457189118354E-11</v>
      </c>
      <c r="J136" s="4">
        <f>(Volumes!B132+Volumes!C132)/1000*B136*(10^-6)/($J$2*D136)</f>
        <v>8.3930715840732499E-7</v>
      </c>
      <c r="K136" s="24">
        <f>(Volumes!B132/1000)*C136*E136*((Volumes!D132+Volumes!C132)/Volumes!C132/1000)</f>
        <v>1.6772275935301932E-10</v>
      </c>
      <c r="L136" s="19">
        <f>J136*(H136/1000*Volumes!B132)/(G136/1000*Volumes!B132)</f>
        <v>4.1261282688964075E-11</v>
      </c>
      <c r="M136" s="19">
        <f>L136*(I136/1000*Volumes!B132)/(G136/1000*Volumes!B132)</f>
        <v>2.3115171817279109E-19</v>
      </c>
      <c r="N136" s="20">
        <f t="shared" si="19"/>
        <v>2.0898404227313512E-10</v>
      </c>
      <c r="O136" s="20">
        <f>(N136+J136)*(1000/Volumes!D132)</f>
        <v>1.6790322848991965E-4</v>
      </c>
      <c r="P136" s="22">
        <f t="shared" si="23"/>
        <v>7.3892531826128733</v>
      </c>
      <c r="Q136" s="5">
        <f t="shared" si="20"/>
        <v>2.0166856773924247</v>
      </c>
    </row>
    <row r="137" spans="1:17" x14ac:dyDescent="0.15">
      <c r="A137" t="s">
        <v>222</v>
      </c>
      <c r="B137" s="49">
        <v>980.89347485121698</v>
      </c>
      <c r="C137">
        <f t="shared" si="21"/>
        <v>9.8089347485121698E-4</v>
      </c>
      <c r="D137">
        <v>308.14999999999998</v>
      </c>
      <c r="E137">
        <f t="shared" si="16"/>
        <v>2.6462895903596996E-2</v>
      </c>
      <c r="F137" s="1">
        <v>2</v>
      </c>
      <c r="G137">
        <f t="shared" si="22"/>
        <v>0.01</v>
      </c>
      <c r="H137" s="19">
        <f t="shared" si="17"/>
        <v>4.9161123285617822E-7</v>
      </c>
      <c r="I137" s="19">
        <f t="shared" si="18"/>
        <v>5.6021457189118354E-11</v>
      </c>
      <c r="J137" s="4">
        <f>(Volumes!B133+Volumes!C133)/1000*B137*(10^-6)/($J$2*D137)</f>
        <v>8.5729852780449314E-7</v>
      </c>
      <c r="K137" s="24">
        <f>(Volumes!B133/1000)*C137*E137*((Volumes!D133+Volumes!C133)/Volumes!C133/1000)</f>
        <v>1.7131806065553492E-10</v>
      </c>
      <c r="L137" s="19">
        <f>J137*(H137/1000*Volumes!B133)/(G137/1000*Volumes!B133)</f>
        <v>4.2145758617975344E-11</v>
      </c>
      <c r="M137" s="19">
        <f>L137*(I137/1000*Volumes!B133)/(G137/1000*Volumes!B133)</f>
        <v>2.3610668121198216E-19</v>
      </c>
      <c r="N137" s="20">
        <f t="shared" si="19"/>
        <v>2.1346381950961695E-10</v>
      </c>
      <c r="O137" s="20">
        <f>(N137+J137)*(1000/Volumes!D133)</f>
        <v>1.7150239832480055E-4</v>
      </c>
      <c r="P137" s="22">
        <f t="shared" si="23"/>
        <v>7.5476490478761473</v>
      </c>
      <c r="Q137" s="5">
        <f t="shared" si="20"/>
        <v>2.0599153062791791</v>
      </c>
    </row>
    <row r="138" spans="1:17" x14ac:dyDescent="0.15">
      <c r="A138" t="s">
        <v>223</v>
      </c>
      <c r="B138" s="49">
        <v>1099.5245416403</v>
      </c>
      <c r="C138">
        <f t="shared" si="21"/>
        <v>1.0995245416403E-3</v>
      </c>
      <c r="D138">
        <v>308.14999999999998</v>
      </c>
      <c r="E138">
        <f t="shared" si="16"/>
        <v>2.6462895903596996E-2</v>
      </c>
      <c r="F138" s="1">
        <v>2</v>
      </c>
      <c r="G138">
        <f t="shared" si="22"/>
        <v>0.01</v>
      </c>
      <c r="H138" s="19">
        <f t="shared" si="17"/>
        <v>4.9161123285617822E-7</v>
      </c>
      <c r="I138" s="19">
        <f t="shared" si="18"/>
        <v>5.6021457189118354E-11</v>
      </c>
      <c r="J138" s="4">
        <f>(Volumes!B134+Volumes!C134)/1000*B138*(10^-6)/($J$2*D138)</f>
        <v>9.6098179364086101E-7</v>
      </c>
      <c r="K138" s="24">
        <f>(Volumes!B134/1000)*C138*E138*((Volumes!D134+Volumes!C134)/Volumes!C134/1000)</f>
        <v>1.9203758302659124E-10</v>
      </c>
      <c r="L138" s="19">
        <f>J138*(H138/1000*Volumes!B134)/(G138/1000*Volumes!B134)</f>
        <v>4.724294443241252E-11</v>
      </c>
      <c r="M138" s="19">
        <f>L138*(I138/1000*Volumes!B134)/(G138/1000*Volumes!B134)</f>
        <v>2.6466185890082949E-19</v>
      </c>
      <c r="N138" s="20">
        <f t="shared" si="19"/>
        <v>2.392805277236656E-10</v>
      </c>
      <c r="O138" s="20">
        <f>(N138+J138)*(1000/Volumes!D134)</f>
        <v>1.9224421483371695E-4</v>
      </c>
      <c r="P138" s="22">
        <f t="shared" si="23"/>
        <v>8.4604756506170506</v>
      </c>
      <c r="Q138" s="5">
        <f t="shared" si="20"/>
        <v>2.3090452643677746</v>
      </c>
    </row>
    <row r="139" spans="1:17" x14ac:dyDescent="0.15">
      <c r="A139" t="s">
        <v>224</v>
      </c>
      <c r="B139" s="49">
        <v>606.00632413695701</v>
      </c>
      <c r="C139">
        <f t="shared" si="21"/>
        <v>6.0600632413695705E-4</v>
      </c>
      <c r="D139">
        <v>308.14999999999998</v>
      </c>
      <c r="E139">
        <f t="shared" si="16"/>
        <v>2.6462895903596996E-2</v>
      </c>
      <c r="F139" s="1">
        <v>2</v>
      </c>
      <c r="G139">
        <f t="shared" si="22"/>
        <v>0.01</v>
      </c>
      <c r="H139" s="19">
        <f t="shared" si="17"/>
        <v>4.9161123285617822E-7</v>
      </c>
      <c r="I139" s="19">
        <f t="shared" si="18"/>
        <v>5.6021457189118354E-11</v>
      </c>
      <c r="J139" s="4">
        <f>(Volumes!B135+Volumes!C135)/1000*B139*(10^-6)/($J$2*D139)</f>
        <v>5.2964806356941911E-7</v>
      </c>
      <c r="K139" s="24">
        <f>(Volumes!B135/1000)*C139*E139*((Volumes!D135+Volumes!C135)/Volumes!C135/1000)</f>
        <v>1.0584210299888117E-10</v>
      </c>
      <c r="L139" s="19">
        <f>J139*(H139/1000*Volumes!B135)/(G139/1000*Volumes!B135)</f>
        <v>2.603809375112496E-11</v>
      </c>
      <c r="M139" s="19">
        <f>L139*(I139/1000*Volumes!B135)/(G139/1000*Volumes!B135)</f>
        <v>1.4586919543648972E-19</v>
      </c>
      <c r="N139" s="20">
        <f t="shared" si="19"/>
        <v>1.3188019689587532E-10</v>
      </c>
      <c r="O139" s="20">
        <f>(N139+J139)*(1000/Volumes!D135)</f>
        <v>1.0595598875326301E-4</v>
      </c>
      <c r="P139" s="22">
        <f t="shared" si="23"/>
        <v>4.663017109042352</v>
      </c>
      <c r="Q139" s="5">
        <f t="shared" si="20"/>
        <v>1.2726373809154419</v>
      </c>
    </row>
    <row r="140" spans="1:17" x14ac:dyDescent="0.15">
      <c r="A140" t="s">
        <v>225</v>
      </c>
      <c r="B140" s="49">
        <v>1160.6219694532899</v>
      </c>
      <c r="C140">
        <f t="shared" si="21"/>
        <v>1.1606219694532899E-3</v>
      </c>
      <c r="D140">
        <v>308.14999999999998</v>
      </c>
      <c r="E140">
        <f t="shared" si="16"/>
        <v>2.6462895903596996E-2</v>
      </c>
      <c r="F140" s="1">
        <v>2</v>
      </c>
      <c r="G140">
        <f t="shared" si="22"/>
        <v>0.01</v>
      </c>
      <c r="H140" s="19">
        <f t="shared" si="17"/>
        <v>4.9161123285617822E-7</v>
      </c>
      <c r="I140" s="19">
        <f t="shared" si="18"/>
        <v>5.6021457189118354E-11</v>
      </c>
      <c r="J140" s="4">
        <f>(Volumes!B136+Volumes!C136)/1000*B140*(10^-6)/($J$2*D140)</f>
        <v>1.014380797976844E-6</v>
      </c>
      <c r="K140" s="24">
        <f>(Volumes!B136/1000)*C140*E140*((Volumes!D136+Volumes!C136)/Volumes!C136/1000)</f>
        <v>2.0270856118306293E-10</v>
      </c>
      <c r="L140" s="19">
        <f>J140*(H140/1000*Volumes!B136)/(G140/1000*Volumes!B136)</f>
        <v>4.9868099467903023E-11</v>
      </c>
      <c r="M140" s="19">
        <f>L140*(I140/1000*Volumes!B136)/(G140/1000*Volumes!B136)</f>
        <v>2.793683599443825E-19</v>
      </c>
      <c r="N140" s="20">
        <f t="shared" si="19"/>
        <v>2.5257666093033431E-10</v>
      </c>
      <c r="O140" s="20">
        <f>(N140+J140)*(1000/Volumes!D136)</f>
        <v>2.029266749275549E-4</v>
      </c>
      <c r="P140" s="22">
        <f t="shared" si="23"/>
        <v>8.930600036886764</v>
      </c>
      <c r="Q140" s="5">
        <f t="shared" si="20"/>
        <v>2.4373522925548619</v>
      </c>
    </row>
    <row r="141" spans="1:17" x14ac:dyDescent="0.15">
      <c r="A141" t="s">
        <v>226</v>
      </c>
      <c r="B141" s="49">
        <v>1057</v>
      </c>
      <c r="C141">
        <f t="shared" si="21"/>
        <v>1.057E-3</v>
      </c>
      <c r="D141">
        <v>308.14999999999998</v>
      </c>
      <c r="E141">
        <f t="shared" si="16"/>
        <v>2.6462895903596996E-2</v>
      </c>
      <c r="F141" s="1">
        <v>2</v>
      </c>
      <c r="G141">
        <f t="shared" si="22"/>
        <v>0.01</v>
      </c>
      <c r="H141" s="19">
        <f t="shared" si="17"/>
        <v>4.9161123285617822E-7</v>
      </c>
      <c r="I141" s="19">
        <f t="shared" si="18"/>
        <v>5.6021457189118354E-11</v>
      </c>
      <c r="J141" s="4">
        <f>(Volumes!B137+Volumes!C137)/1000*B141*(10^-6)/($J$2*D141)</f>
        <v>9.238154469595155E-7</v>
      </c>
      <c r="K141" s="24">
        <f>(Volumes!B137/1000)*C141*E141*((Volumes!D137+Volumes!C137)/Volumes!C137/1000)</f>
        <v>1.8461045440267334E-10</v>
      </c>
      <c r="L141" s="19">
        <f>J141*(H141/1000*Volumes!B137)/(G141/1000*Volumes!B137)</f>
        <v>4.5415805081134881E-11</v>
      </c>
      <c r="M141" s="19">
        <f>L141*(I141/1000*Volumes!B137)/(G141/1000*Volumes!B137)</f>
        <v>2.5442595800621416E-19</v>
      </c>
      <c r="N141" s="20">
        <f t="shared" si="19"/>
        <v>2.3002625973823419E-10</v>
      </c>
      <c r="O141" s="20">
        <f>(N141+J141)*(1000/Volumes!D137)</f>
        <v>1.8480909464385073E-4</v>
      </c>
      <c r="P141" s="22">
        <f t="shared" si="23"/>
        <v>8.1332634461812265</v>
      </c>
      <c r="Q141" s="5">
        <f t="shared" si="20"/>
        <v>2.219742035767291</v>
      </c>
    </row>
    <row r="142" spans="1:17" x14ac:dyDescent="0.15">
      <c r="A142" t="s">
        <v>227</v>
      </c>
      <c r="B142" s="49">
        <v>1438</v>
      </c>
      <c r="C142">
        <f t="shared" si="21"/>
        <v>1.438E-3</v>
      </c>
      <c r="D142">
        <v>308.14999999999998</v>
      </c>
      <c r="E142">
        <f t="shared" si="16"/>
        <v>2.6462895903596996E-2</v>
      </c>
      <c r="F142" s="1">
        <v>2</v>
      </c>
      <c r="G142">
        <f t="shared" si="22"/>
        <v>0.01</v>
      </c>
      <c r="H142" s="19">
        <f t="shared" si="17"/>
        <v>4.9161123285617822E-7</v>
      </c>
      <c r="I142" s="19">
        <f t="shared" si="18"/>
        <v>5.6021457189118354E-11</v>
      </c>
      <c r="J142" s="4">
        <f>(Volumes!B138+Volumes!C138)/1000*B142*(10^-6)/($J$2*D142)</f>
        <v>1.2568085267055659E-6</v>
      </c>
      <c r="K142" s="24">
        <f>(Volumes!B138/1000)*C142*E142*((Volumes!D138+Volumes!C138)/Volumes!C138/1000)</f>
        <v>2.5115405244185837E-10</v>
      </c>
      <c r="L142" s="19">
        <f>J142*(H142/1000*Volumes!B138)/(G142/1000*Volumes!B138)</f>
        <v>6.1786118927788027E-11</v>
      </c>
      <c r="M142" s="19">
        <f>L142*(I142/1000*Volumes!B138)/(G142/1000*Volumes!B138)</f>
        <v>3.4613484163948519E-19</v>
      </c>
      <c r="N142" s="20">
        <f t="shared" si="19"/>
        <v>3.1294017171578124E-10</v>
      </c>
      <c r="O142" s="20">
        <f>(N142+J142)*(1000/Volumes!D138)</f>
        <v>2.5142429337545634E-4</v>
      </c>
      <c r="P142" s="22">
        <f t="shared" si="23"/>
        <v>11.064931727160459</v>
      </c>
      <c r="Q142" s="5">
        <f t="shared" si="20"/>
        <v>3.0198571877326059</v>
      </c>
    </row>
    <row r="143" spans="1:17" x14ac:dyDescent="0.15">
      <c r="A143" t="s">
        <v>228</v>
      </c>
      <c r="B143" s="49">
        <v>1134</v>
      </c>
      <c r="C143">
        <f t="shared" si="21"/>
        <v>1.134E-3</v>
      </c>
      <c r="D143">
        <v>308.14999999999998</v>
      </c>
      <c r="E143">
        <f t="shared" si="16"/>
        <v>2.6462895903596996E-2</v>
      </c>
      <c r="F143" s="1">
        <v>2</v>
      </c>
      <c r="G143">
        <f t="shared" si="22"/>
        <v>0.01</v>
      </c>
      <c r="H143" s="19">
        <f t="shared" si="17"/>
        <v>4.9161123285617822E-7</v>
      </c>
      <c r="I143" s="19">
        <f t="shared" si="18"/>
        <v>5.6021457189118354E-11</v>
      </c>
      <c r="J143" s="4">
        <f>(Volumes!B139+Volumes!C139)/1000*B143*(10^-6)/($J$2*D143)</f>
        <v>9.9111326097643391E-7</v>
      </c>
      <c r="K143" s="24">
        <f>(Volumes!B139/1000)*C143*E143*((Volumes!D139+Volumes!C139)/Volumes!C139/1000)</f>
        <v>1.9805889810088135E-10</v>
      </c>
      <c r="L143" s="19">
        <f>J143*(H143/1000*Volumes!B139)/(G143/1000*Volumes!B139)</f>
        <v>4.8724241212873186E-11</v>
      </c>
      <c r="M143" s="19">
        <f>L143*(I143/1000*Volumes!B139)/(G143/1000*Volumes!B139)</f>
        <v>2.7296029931792515E-19</v>
      </c>
      <c r="N143" s="20">
        <f t="shared" si="19"/>
        <v>2.4678313958671485E-10</v>
      </c>
      <c r="O143" s="20">
        <f>(N143+J143)*(1000/Volumes!D139)</f>
        <v>1.9827200882320415E-4</v>
      </c>
      <c r="P143" s="22">
        <f t="shared" si="23"/>
        <v>8.7257528363003924</v>
      </c>
      <c r="Q143" s="5">
        <f t="shared" si="20"/>
        <v>2.3814450979755053</v>
      </c>
    </row>
    <row r="144" spans="1:17" x14ac:dyDescent="0.15">
      <c r="A144" t="s">
        <v>229</v>
      </c>
      <c r="B144" s="49">
        <v>1188.4847703289599</v>
      </c>
      <c r="C144">
        <f t="shared" si="21"/>
        <v>1.18848477032896E-3</v>
      </c>
      <c r="D144">
        <v>308.14999999999998</v>
      </c>
      <c r="E144">
        <f t="shared" si="16"/>
        <v>2.6462895903596996E-2</v>
      </c>
      <c r="F144" s="1">
        <v>2</v>
      </c>
      <c r="G144">
        <f t="shared" si="22"/>
        <v>0.01</v>
      </c>
      <c r="H144" s="19">
        <f t="shared" si="17"/>
        <v>4.9161123285617822E-7</v>
      </c>
      <c r="I144" s="19">
        <f t="shared" si="18"/>
        <v>5.6021457189118354E-11</v>
      </c>
      <c r="J144" s="4">
        <f>(Volumes!B140+Volumes!C140)/1000*B144*(10^-6)/($J$2*D144)</f>
        <v>1.0387328186433541E-6</v>
      </c>
      <c r="K144" s="24">
        <f>(Volumes!B140/1000)*C144*E144*((Volumes!D140+Volumes!C140)/Volumes!C140/1000)</f>
        <v>2.075749418174893E-10</v>
      </c>
      <c r="L144" s="19">
        <f>J144*(H144/1000*Volumes!B140)/(G144/1000*Volumes!B140)</f>
        <v>5.1065272158143229E-11</v>
      </c>
      <c r="M144" s="19">
        <f>L144*(I144/1000*Volumes!B140)/(G144/1000*Volumes!B140)</f>
        <v>2.8607509580580979E-19</v>
      </c>
      <c r="N144" s="20">
        <f t="shared" si="19"/>
        <v>2.5864021426170762E-10</v>
      </c>
      <c r="O144" s="20">
        <f>(N144+J144)*(1000/Volumes!D140)</f>
        <v>2.0779829177152318E-4</v>
      </c>
      <c r="P144" s="22">
        <f t="shared" si="23"/>
        <v>9.1449950225729637</v>
      </c>
      <c r="Q144" s="5">
        <f t="shared" si="20"/>
        <v>2.4958652824677645</v>
      </c>
    </row>
    <row r="145" spans="1:17" x14ac:dyDescent="0.15">
      <c r="A145" t="s">
        <v>230</v>
      </c>
      <c r="B145" s="49">
        <v>974</v>
      </c>
      <c r="C145">
        <f t="shared" si="21"/>
        <v>9.7400000000000004E-4</v>
      </c>
      <c r="D145">
        <v>308.14999999999998</v>
      </c>
      <c r="E145">
        <f t="shared" si="16"/>
        <v>2.6462895903596996E-2</v>
      </c>
      <c r="F145" s="1">
        <v>2</v>
      </c>
      <c r="G145">
        <f t="shared" si="22"/>
        <v>0.01</v>
      </c>
      <c r="H145" s="19">
        <f t="shared" si="17"/>
        <v>4.9161123285617822E-7</v>
      </c>
      <c r="I145" s="19">
        <f t="shared" si="18"/>
        <v>5.6021457189118354E-11</v>
      </c>
      <c r="J145" s="4">
        <f>(Volumes!B141+Volumes!C141)/1000*B145*(10^-6)/($J$2*D145)</f>
        <v>8.5127364743478531E-7</v>
      </c>
      <c r="K145" s="24">
        <f>(Volumes!B141/1000)*C145*E145*((Volumes!D141+Volumes!C141)/Volumes!C141/1000)</f>
        <v>1.7011408002668296E-10</v>
      </c>
      <c r="L145" s="19">
        <f>J145*(H145/1000*Volumes!B141)/(G145/1000*Volumes!B141)</f>
        <v>4.1849568731339046E-11</v>
      </c>
      <c r="M145" s="19">
        <f>L145*(I145/1000*Volumes!B141)/(G145/1000*Volumes!B141)</f>
        <v>2.3444738230657763E-19</v>
      </c>
      <c r="N145" s="20">
        <f t="shared" si="19"/>
        <v>2.1196364899246939E-10</v>
      </c>
      <c r="O145" s="20">
        <f>(N145+J145)*(1000/Volumes!D141)</f>
        <v>1.7029712221675557E-4</v>
      </c>
      <c r="P145" s="22">
        <f t="shared" si="23"/>
        <v>7.494606051637196</v>
      </c>
      <c r="Q145" s="5">
        <f t="shared" si="20"/>
        <v>2.045438734945451</v>
      </c>
    </row>
    <row r="146" spans="1:17" x14ac:dyDescent="0.15">
      <c r="A146" t="s">
        <v>231</v>
      </c>
      <c r="B146" s="49">
        <v>917</v>
      </c>
      <c r="C146">
        <f t="shared" si="21"/>
        <v>9.1699999999999995E-4</v>
      </c>
      <c r="D146">
        <v>308.14999999999998</v>
      </c>
      <c r="E146">
        <f t="shared" si="16"/>
        <v>2.6462895903596996E-2</v>
      </c>
      <c r="F146" s="1">
        <v>2</v>
      </c>
      <c r="G146">
        <f t="shared" si="22"/>
        <v>0.01</v>
      </c>
      <c r="H146" s="19">
        <f t="shared" si="17"/>
        <v>4.9161123285617822E-7</v>
      </c>
      <c r="I146" s="19">
        <f t="shared" si="18"/>
        <v>5.6021457189118354E-11</v>
      </c>
      <c r="J146" s="4">
        <f>(Volumes!B142+Volumes!C142)/1000*B146*(10^-6)/($J$2*D146)</f>
        <v>8.0145578511057315E-7</v>
      </c>
      <c r="K146" s="24">
        <f>(Volumes!B142/1000)*C146*E146*((Volumes!D142+Volumes!C142)/Volumes!C142/1000)</f>
        <v>1.6015873858774975E-10</v>
      </c>
      <c r="L146" s="19">
        <f>J146*(H146/1000*Volumes!B142)/(G146/1000*Volumes!B142)</f>
        <v>3.9400466659792517E-11</v>
      </c>
      <c r="M146" s="19">
        <f>L146*(I146/1000*Volumes!B142)/(G146/1000*Volumes!B142)</f>
        <v>2.2072715562128512E-19</v>
      </c>
      <c r="N146" s="20">
        <f t="shared" si="19"/>
        <v>1.9955920546826941E-10</v>
      </c>
      <c r="O146" s="20">
        <f>(N146+J146)*(1000/Volumes!D142)</f>
        <v>1.6033106886320829E-4</v>
      </c>
      <c r="P146" s="22">
        <f t="shared" si="23"/>
        <v>7.0560100096009331</v>
      </c>
      <c r="Q146" s="5">
        <f t="shared" si="20"/>
        <v>1.9257364681159945</v>
      </c>
    </row>
    <row r="147" spans="1:17" x14ac:dyDescent="0.15">
      <c r="A147" t="s">
        <v>232</v>
      </c>
      <c r="B147" s="49">
        <v>922.49334492466096</v>
      </c>
      <c r="C147">
        <f t="shared" si="21"/>
        <v>9.2249334492466091E-4</v>
      </c>
      <c r="D147">
        <v>308.14999999999998</v>
      </c>
      <c r="E147">
        <f t="shared" si="16"/>
        <v>2.6462895903596996E-2</v>
      </c>
      <c r="F147" s="1">
        <v>2</v>
      </c>
      <c r="G147">
        <f t="shared" si="22"/>
        <v>0.01</v>
      </c>
      <c r="H147" s="19">
        <f t="shared" si="17"/>
        <v>4.9161123285617822E-7</v>
      </c>
      <c r="I147" s="19">
        <f t="shared" si="18"/>
        <v>5.6021457189118354E-11</v>
      </c>
      <c r="J147" s="4">
        <f>(Volumes!B143+Volumes!C143)/1000*B147*(10^-6)/($J$2*D147)</f>
        <v>8.0625695530629541E-7</v>
      </c>
      <c r="K147" s="24">
        <f>(Volumes!B143/1000)*C147*E147*((Volumes!D143+Volumes!C143)/Volumes!C143/1000)</f>
        <v>1.6111817936611518E-10</v>
      </c>
      <c r="L147" s="19">
        <f>J147*(H147/1000*Volumes!B143)/(G147/1000*Volumes!B143)</f>
        <v>3.9636497579699649E-11</v>
      </c>
      <c r="M147" s="19">
        <f>L147*(I147/1000*Volumes!B143)/(G147/1000*Volumes!B143)</f>
        <v>2.2204943522877373E-19</v>
      </c>
      <c r="N147" s="20">
        <f t="shared" si="19"/>
        <v>2.0075467716786424E-10</v>
      </c>
      <c r="O147" s="20">
        <f>(N147+J147)*(1000/Volumes!D143)</f>
        <v>1.6129154199669266E-4</v>
      </c>
      <c r="P147" s="22">
        <f t="shared" si="23"/>
        <v>7.0982794717324476</v>
      </c>
      <c r="Q147" s="5">
        <f t="shared" si="20"/>
        <v>1.9372727109222754</v>
      </c>
    </row>
    <row r="148" spans="1:17" x14ac:dyDescent="0.15">
      <c r="A148" t="s">
        <v>233</v>
      </c>
      <c r="B148" s="49">
        <v>1307.2248416792299</v>
      </c>
      <c r="C148">
        <f t="shared" si="21"/>
        <v>1.3072248416792298E-3</v>
      </c>
      <c r="D148">
        <v>308.14999999999998</v>
      </c>
      <c r="E148">
        <f t="shared" si="16"/>
        <v>2.6462895903596996E-2</v>
      </c>
      <c r="F148" s="1">
        <v>2</v>
      </c>
      <c r="G148">
        <f t="shared" si="22"/>
        <v>0.01</v>
      </c>
      <c r="H148" s="19">
        <f t="shared" si="17"/>
        <v>4.9161123285617822E-7</v>
      </c>
      <c r="I148" s="19">
        <f t="shared" si="18"/>
        <v>5.6021457189118354E-11</v>
      </c>
      <c r="J148" s="4">
        <f>(Volumes!B144+Volumes!C144)/1000*B148*(10^-6)/($J$2*D148)</f>
        <v>1.1425113542029137E-6</v>
      </c>
      <c r="K148" s="24">
        <f>(Volumes!B144/1000)*C148*E148*((Volumes!D144+Volumes!C144)/Volumes!C144/1000)</f>
        <v>2.2831350239249325E-10</v>
      </c>
      <c r="L148" s="19">
        <f>J148*(H148/1000*Volumes!B144)/(G148/1000*Volumes!B144)</f>
        <v>5.6167141539187616E-11</v>
      </c>
      <c r="M148" s="19">
        <f>L148*(I148/1000*Volumes!B144)/(G148/1000*Volumes!B144)</f>
        <v>3.1465651151727504E-19</v>
      </c>
      <c r="N148" s="20">
        <f t="shared" si="19"/>
        <v>2.8448064424633735E-10</v>
      </c>
      <c r="O148" s="20">
        <f>(N148+J148)*(1000/Volumes!D144)</f>
        <v>2.2855916696943199E-4</v>
      </c>
      <c r="P148" s="22">
        <f t="shared" si="23"/>
        <v>10.058660379157732</v>
      </c>
      <c r="Q148" s="5">
        <f t="shared" si="20"/>
        <v>2.7452241544698475</v>
      </c>
    </row>
    <row r="149" spans="1:17" x14ac:dyDescent="0.15">
      <c r="A149" t="s">
        <v>234</v>
      </c>
      <c r="B149" s="49">
        <v>1500.9247949364101</v>
      </c>
      <c r="C149">
        <f t="shared" si="21"/>
        <v>1.5009247949364102E-3</v>
      </c>
      <c r="D149">
        <v>308.14999999999998</v>
      </c>
      <c r="E149">
        <f t="shared" si="16"/>
        <v>2.6462895903596996E-2</v>
      </c>
      <c r="F149" s="1">
        <v>2</v>
      </c>
      <c r="G149">
        <f t="shared" si="22"/>
        <v>0.01</v>
      </c>
      <c r="H149" s="19">
        <f t="shared" si="17"/>
        <v>4.9161123285617822E-7</v>
      </c>
      <c r="I149" s="19">
        <f t="shared" si="18"/>
        <v>5.6021457189118354E-11</v>
      </c>
      <c r="J149" s="4">
        <f>(Volumes!B145+Volumes!C145)/1000*B149*(10^-6)/($J$2*D149)</f>
        <v>1.3118046454936604E-6</v>
      </c>
      <c r="K149" s="24">
        <f>(Volumes!B145/1000)*C149*E149*((Volumes!D145+Volumes!C145)/Volumes!C145/1000)</f>
        <v>2.6214418960969725E-10</v>
      </c>
      <c r="L149" s="19">
        <f>J149*(H149/1000*Volumes!B145)/(G149/1000*Volumes!B145)</f>
        <v>6.4489789903760027E-11</v>
      </c>
      <c r="M149" s="19">
        <f>L149*(I149/1000*Volumes!B145)/(G149/1000*Volumes!B145)</f>
        <v>3.6128120042287292E-19</v>
      </c>
      <c r="N149" s="20">
        <f t="shared" si="19"/>
        <v>3.2663397987473847E-10</v>
      </c>
      <c r="O149" s="20">
        <f>(N149+J149)*(1000/Volumes!D145)</f>
        <v>2.6242625589470702E-4</v>
      </c>
      <c r="P149" s="22">
        <f t="shared" si="23"/>
        <v>11.549117095670162</v>
      </c>
      <c r="Q149" s="5">
        <f t="shared" si="20"/>
        <v>3.1520017595513261</v>
      </c>
    </row>
    <row r="150" spans="1:17" x14ac:dyDescent="0.15">
      <c r="A150" t="s">
        <v>235</v>
      </c>
      <c r="B150" s="49">
        <v>1594</v>
      </c>
      <c r="C150">
        <f t="shared" si="21"/>
        <v>1.5939999999999999E-3</v>
      </c>
      <c r="D150">
        <v>308.14999999999998</v>
      </c>
      <c r="E150">
        <f t="shared" si="16"/>
        <v>2.6462895903596996E-2</v>
      </c>
      <c r="F150" s="1">
        <v>2</v>
      </c>
      <c r="G150">
        <f t="shared" si="22"/>
        <v>0.01</v>
      </c>
      <c r="H150" s="19">
        <f t="shared" si="17"/>
        <v>4.9161123285617822E-7</v>
      </c>
      <c r="I150" s="19">
        <f t="shared" si="18"/>
        <v>5.6021457189118354E-11</v>
      </c>
      <c r="J150" s="4">
        <f>(Volumes!B146+Volumes!C146)/1000*B150*(10^-6)/($J$2*D150)</f>
        <v>1.3931521499086735E-6</v>
      </c>
      <c r="K150" s="24">
        <f>(Volumes!B146/1000)*C150*E150*((Volumes!D146+Volumes!C146)/Volumes!C146/1000)</f>
        <v>2.784002500642018E-10</v>
      </c>
      <c r="L150" s="19">
        <f>J150*(H150/1000*Volumes!B146)/(G150/1000*Volumes!B146)</f>
        <v>6.848892459728383E-11</v>
      </c>
      <c r="M150" s="19">
        <f>L150*(I150/1000*Volumes!B146)/(G150/1000*Volumes!B146)</f>
        <v>3.8368493572554908E-19</v>
      </c>
      <c r="N150" s="20">
        <f t="shared" si="19"/>
        <v>3.4688917504517055E-10</v>
      </c>
      <c r="O150" s="20">
        <f>(N150+J150)*(1000/Volumes!D146)</f>
        <v>2.7869980781674376E-4</v>
      </c>
      <c r="P150" s="22">
        <f t="shared" si="23"/>
        <v>12.265299842207076</v>
      </c>
      <c r="Q150" s="5">
        <f t="shared" si="20"/>
        <v>3.347463391686909</v>
      </c>
    </row>
    <row r="151" spans="1:17" x14ac:dyDescent="0.15">
      <c r="A151" t="s">
        <v>236</v>
      </c>
      <c r="B151" s="49">
        <v>1253.59199450202</v>
      </c>
      <c r="C151">
        <f t="shared" si="21"/>
        <v>1.2535919945020201E-3</v>
      </c>
      <c r="D151">
        <v>308.14999999999998</v>
      </c>
      <c r="E151">
        <f t="shared" si="16"/>
        <v>2.6462895903596996E-2</v>
      </c>
      <c r="F151" s="1">
        <v>2</v>
      </c>
      <c r="G151">
        <f t="shared" si="22"/>
        <v>0.01</v>
      </c>
      <c r="H151" s="19">
        <f t="shared" si="17"/>
        <v>4.9161123285617822E-7</v>
      </c>
      <c r="I151" s="19">
        <f t="shared" si="18"/>
        <v>5.6021457189118354E-11</v>
      </c>
      <c r="J151" s="4">
        <f>(Volumes!B147+Volumes!C147)/1000*B151*(10^-6)/($J$2*D151)</f>
        <v>1.0956363753129178E-6</v>
      </c>
      <c r="K151" s="24">
        <f>(Volumes!B147/1000)*C151*E151*((Volumes!D147+Volumes!C147)/Volumes!C147/1000)</f>
        <v>2.1894625141019066E-10</v>
      </c>
      <c r="L151" s="19">
        <f>J151*(H151/1000*Volumes!B147)/(G151/1000*Volumes!B147)</f>
        <v>5.3862714922965793E-11</v>
      </c>
      <c r="M151" s="19">
        <f>L151*(I151/1000*Volumes!B147)/(G151/1000*Volumes!B147)</f>
        <v>3.017467778146614E-19</v>
      </c>
      <c r="N151" s="20">
        <f t="shared" si="19"/>
        <v>2.7280896663490325E-10</v>
      </c>
      <c r="O151" s="20">
        <f>(N151+J151)*(1000/Volumes!D147)</f>
        <v>2.1918183685591054E-4</v>
      </c>
      <c r="P151" s="22">
        <f t="shared" si="23"/>
        <v>9.6459734581917669</v>
      </c>
      <c r="Q151" s="5">
        <f t="shared" si="20"/>
        <v>2.6325930424763411</v>
      </c>
    </row>
    <row r="152" spans="1:17" x14ac:dyDescent="0.15">
      <c r="A152" t="s">
        <v>237</v>
      </c>
      <c r="B152" s="49">
        <v>882</v>
      </c>
      <c r="C152">
        <f t="shared" si="21"/>
        <v>8.8199999999999997E-4</v>
      </c>
      <c r="D152">
        <v>308.14999999999998</v>
      </c>
      <c r="E152">
        <f t="shared" si="16"/>
        <v>2.6462895903596996E-2</v>
      </c>
      <c r="F152" s="1">
        <v>2</v>
      </c>
      <c r="G152">
        <f t="shared" si="22"/>
        <v>0.01</v>
      </c>
      <c r="H152" s="19">
        <f t="shared" si="17"/>
        <v>4.9161123285617822E-7</v>
      </c>
      <c r="I152" s="19">
        <f t="shared" si="18"/>
        <v>5.6021457189118354E-11</v>
      </c>
      <c r="J152" s="4">
        <f>(Volumes!B148+Volumes!C148)/1000*B152*(10^-6)/($J$2*D152)</f>
        <v>7.708658696483374E-7</v>
      </c>
      <c r="K152" s="24">
        <f>(Volumes!B148/1000)*C152*E152*((Volumes!D148+Volumes!C148)/Volumes!C148/1000)</f>
        <v>1.5404580963401882E-10</v>
      </c>
      <c r="L152" s="19">
        <f>J152*(H152/1000*Volumes!B148)/(G152/1000*Volumes!B148)</f>
        <v>3.7896632054456913E-11</v>
      </c>
      <c r="M152" s="19">
        <f>L152*(I152/1000*Volumes!B148)/(G152/1000*Volumes!B148)</f>
        <v>2.1230245502505281E-19</v>
      </c>
      <c r="N152" s="20">
        <f t="shared" si="19"/>
        <v>1.9194244190077817E-10</v>
      </c>
      <c r="O152" s="20">
        <f>(N152+J152)*(1000/Volumes!D148)</f>
        <v>1.5421156241804764E-4</v>
      </c>
      <c r="P152" s="22">
        <f t="shared" si="23"/>
        <v>6.7866966504558581</v>
      </c>
      <c r="Q152" s="5">
        <f t="shared" si="20"/>
        <v>1.8522350762031699</v>
      </c>
    </row>
    <row r="153" spans="1:17" x14ac:dyDescent="0.15">
      <c r="A153" t="s">
        <v>238</v>
      </c>
      <c r="B153" s="49">
        <v>1319.1320922601601</v>
      </c>
      <c r="C153">
        <f t="shared" si="21"/>
        <v>1.31913209226016E-3</v>
      </c>
      <c r="D153">
        <v>308.14999999999998</v>
      </c>
      <c r="E153">
        <f>EXP(-58.0931+(90.5069*(100/D153))+(22.294*LN(D153/100)))</f>
        <v>2.6462895903596996E-2</v>
      </c>
      <c r="F153" s="1">
        <v>2</v>
      </c>
      <c r="G153">
        <f t="shared" si="22"/>
        <v>0.01</v>
      </c>
      <c r="H153" s="19">
        <f>10^((-3404.71/D153)+14.8435-0.032786*D153)</f>
        <v>4.9161123285617822E-7</v>
      </c>
      <c r="I153" s="19">
        <f>10^((-2902.39/D153)+6.498-0.02379*D153)</f>
        <v>5.6021457189118354E-11</v>
      </c>
      <c r="J153" s="4">
        <f>(Volumes!B149+Volumes!C149)/1000*B153*(10^-6)/($J$2*D153)</f>
        <v>1.1529182624502939E-6</v>
      </c>
      <c r="K153" s="24">
        <f>(Volumes!B149/1000)*C153*E153*((Volumes!D149+Volumes!C149)/Volumes!C149/1000)</f>
        <v>2.3039316458779318E-10</v>
      </c>
      <c r="L153" s="19">
        <f>J153*(H153/1000*Volumes!B149)/(G153/1000*Volumes!B149)</f>
        <v>5.667875683855919E-11</v>
      </c>
      <c r="M153" s="19">
        <f>L153*(I153/1000*Volumes!B149)/(G153/1000*Volumes!B149)</f>
        <v>3.1752265497637931E-19</v>
      </c>
      <c r="N153" s="20">
        <f>SUM(K153:M153)</f>
        <v>2.8707192174387503E-10</v>
      </c>
      <c r="O153" s="20">
        <f>(N153+J153)*(1000/Volumes!D149)</f>
        <v>2.3064106687440756E-4</v>
      </c>
      <c r="P153" s="22">
        <f t="shared" si="23"/>
        <v>10.150282712075803</v>
      </c>
      <c r="Q153" s="5">
        <f>P153/44.009*12.011</f>
        <v>2.7702298542285093</v>
      </c>
    </row>
    <row r="154" spans="1:17" x14ac:dyDescent="0.15">
      <c r="A154" t="s">
        <v>239</v>
      </c>
      <c r="B154" s="49">
        <v>1088.40284475153</v>
      </c>
      <c r="C154">
        <f t="shared" si="21"/>
        <v>1.08840284475153E-3</v>
      </c>
      <c r="D154">
        <v>308.14999999999998</v>
      </c>
      <c r="E154">
        <f t="shared" ref="E154:E205" si="24">EXP(-58.0931+(90.5069*(100/D154))+(22.294*LN(D154/100)))</f>
        <v>2.6462895903596996E-2</v>
      </c>
      <c r="F154" s="1">
        <v>2</v>
      </c>
      <c r="G154">
        <f t="shared" si="22"/>
        <v>0.01</v>
      </c>
      <c r="H154" s="19">
        <f t="shared" ref="H154:H205" si="25">10^((-3404.71/D154)+14.8435-0.032786*D154)</f>
        <v>4.9161123285617822E-7</v>
      </c>
      <c r="I154" s="19">
        <f t="shared" ref="I154:I205" si="26">10^((-2902.39/D154)+6.498-0.02379*D154)</f>
        <v>5.6021457189118354E-11</v>
      </c>
      <c r="J154" s="4">
        <f>(Volumes!B150+Volumes!C150)/1000*B154*(10^-6)/($J$2*D154)</f>
        <v>9.5126145742303012E-7</v>
      </c>
      <c r="K154" s="24">
        <f>(Volumes!B150/1000)*C154*E154*((Volumes!D150+Volumes!C150)/Volumes!C150/1000)</f>
        <v>1.9009512180013464E-10</v>
      </c>
      <c r="L154" s="19">
        <f>J154*(H154/1000*Volumes!B150)/(G154/1000*Volumes!B150)</f>
        <v>4.6765081785230078E-11</v>
      </c>
      <c r="M154" s="19">
        <f>L154*(I154/1000*Volumes!B150)/(G154/1000*Volumes!B150)</f>
        <v>2.6198480271768849E-19</v>
      </c>
      <c r="N154" s="20">
        <f t="shared" ref="N154:N205" si="27">SUM(K154:M154)</f>
        <v>2.3686020384734954E-10</v>
      </c>
      <c r="O154" s="20">
        <f>(N154+J154)*(1000/Volumes!D150)</f>
        <v>1.9029966352537549E-4</v>
      </c>
      <c r="P154" s="22">
        <f t="shared" si="23"/>
        <v>8.3748978920882493</v>
      </c>
      <c r="Q154" s="5">
        <f t="shared" ref="Q154:Q205" si="28">P154/44.009*12.011</f>
        <v>2.2856892586032846</v>
      </c>
    </row>
    <row r="155" spans="1:17" x14ac:dyDescent="0.15">
      <c r="A155" t="s">
        <v>240</v>
      </c>
      <c r="B155" s="49">
        <v>1672</v>
      </c>
      <c r="C155">
        <f t="shared" si="21"/>
        <v>1.6720000000000001E-3</v>
      </c>
      <c r="D155">
        <v>308.14999999999998</v>
      </c>
      <c r="E155">
        <f t="shared" si="24"/>
        <v>2.6462895903596996E-2</v>
      </c>
      <c r="F155" s="1">
        <v>2</v>
      </c>
      <c r="G155">
        <f t="shared" si="22"/>
        <v>0.01</v>
      </c>
      <c r="H155" s="19">
        <f t="shared" si="25"/>
        <v>4.9161123285617822E-7</v>
      </c>
      <c r="I155" s="19">
        <f t="shared" si="26"/>
        <v>5.6021457189118354E-11</v>
      </c>
      <c r="J155" s="4">
        <f>(Volumes!B151+Volumes!C151)/1000*B155*(10^-6)/($J$2*D155)</f>
        <v>1.4613239615102269E-6</v>
      </c>
      <c r="K155" s="24">
        <f>(Volumes!B151/1000)*C155*E155*((Volumes!D151+Volumes!C151)/Volumes!C151/1000)</f>
        <v>2.9202334887537359E-10</v>
      </c>
      <c r="L155" s="19">
        <f>J155*(H155/1000*Volumes!B151)/(G155/1000*Volumes!B151)</f>
        <v>7.1840327432031712E-11</v>
      </c>
      <c r="M155" s="19">
        <f>L155*(I155/1000*Volumes!B151)/(G155/1000*Volumes!B151)</f>
        <v>4.0245998276858091E-19</v>
      </c>
      <c r="N155" s="20">
        <f t="shared" si="27"/>
        <v>3.6386367670986526E-10</v>
      </c>
      <c r="O155" s="20">
        <f>(N155+J155)*(1000/Volumes!D151)</f>
        <v>2.9233756503738731E-4</v>
      </c>
      <c r="P155" s="22">
        <f t="shared" si="23"/>
        <v>12.865483899730377</v>
      </c>
      <c r="Q155" s="5">
        <f t="shared" si="28"/>
        <v>3.5112664936640585</v>
      </c>
    </row>
    <row r="156" spans="1:17" x14ac:dyDescent="0.15">
      <c r="A156" t="s">
        <v>241</v>
      </c>
      <c r="B156" s="49">
        <v>1258.1178637825401</v>
      </c>
      <c r="C156">
        <f t="shared" si="21"/>
        <v>1.2581178637825401E-3</v>
      </c>
      <c r="D156">
        <v>308.14999999999998</v>
      </c>
      <c r="E156">
        <f t="shared" si="24"/>
        <v>2.6462895903596996E-2</v>
      </c>
      <c r="F156" s="1">
        <v>2</v>
      </c>
      <c r="G156">
        <f t="shared" si="22"/>
        <v>0.01</v>
      </c>
      <c r="H156" s="19">
        <f t="shared" si="25"/>
        <v>4.9161123285617822E-7</v>
      </c>
      <c r="I156" s="19">
        <f t="shared" si="26"/>
        <v>5.6021457189118354E-11</v>
      </c>
      <c r="J156" s="4">
        <f>(Volumes!B152+Volumes!C152)/1000*B156*(10^-6)/($J$2*D156)</f>
        <v>1.0995919741324676E-6</v>
      </c>
      <c r="K156" s="24">
        <f>(Volumes!B152/1000)*C156*E156*((Volumes!D152+Volumes!C152)/Volumes!C152/1000)</f>
        <v>2.1973671762063901E-10</v>
      </c>
      <c r="L156" s="19">
        <f>J156*(H156/1000*Volumes!B152)/(G156/1000*Volumes!B152)</f>
        <v>5.4057176604202127E-11</v>
      </c>
      <c r="M156" s="19">
        <f>L156*(I156/1000*Volumes!B152)/(G156/1000*Volumes!B152)</f>
        <v>3.0283618048969194E-19</v>
      </c>
      <c r="N156" s="20">
        <f t="shared" si="27"/>
        <v>2.7379389452767731E-10</v>
      </c>
      <c r="O156" s="20">
        <f>(N156+J156)*(1000/Volumes!D152)</f>
        <v>2.1997315360539906E-4</v>
      </c>
      <c r="P156" s="22">
        <f t="shared" si="23"/>
        <v>9.6807985170200084</v>
      </c>
      <c r="Q156" s="5">
        <f t="shared" si="28"/>
        <v>2.6420975479544482</v>
      </c>
    </row>
    <row r="157" spans="1:17" x14ac:dyDescent="0.15">
      <c r="A157" t="s">
        <v>242</v>
      </c>
      <c r="B157" s="49">
        <v>952.15170400063596</v>
      </c>
      <c r="C157">
        <f t="shared" si="21"/>
        <v>9.5215170400063593E-4</v>
      </c>
      <c r="D157">
        <v>308.14999999999998</v>
      </c>
      <c r="E157">
        <f t="shared" si="24"/>
        <v>2.6462895903596996E-2</v>
      </c>
      <c r="F157" s="1">
        <v>2</v>
      </c>
      <c r="G157">
        <f t="shared" si="22"/>
        <v>0.01</v>
      </c>
      <c r="H157" s="19">
        <f t="shared" si="25"/>
        <v>4.9161123285617822E-7</v>
      </c>
      <c r="I157" s="19">
        <f t="shared" si="26"/>
        <v>5.6021457189118354E-11</v>
      </c>
      <c r="J157" s="4">
        <f>(Volumes!B153+Volumes!C153)/1000*B157*(10^-6)/($J$2*D157)</f>
        <v>8.3217828950294399E-7</v>
      </c>
      <c r="K157" s="24">
        <f>(Volumes!B153/1000)*C157*E157*((Volumes!D153+Volumes!C153)/Volumes!C153/1000)</f>
        <v>1.6629816342084873E-10</v>
      </c>
      <c r="L157" s="19">
        <f>J157*(H157/1000*Volumes!B153)/(G157/1000*Volumes!B153)</f>
        <v>4.0910819485868791E-11</v>
      </c>
      <c r="M157" s="19">
        <f>L157*(I157/1000*Volumes!B153)/(G157/1000*Volumes!B153)</f>
        <v>2.2918837223993472E-19</v>
      </c>
      <c r="N157" s="20">
        <f t="shared" si="27"/>
        <v>2.0720898313590589E-10</v>
      </c>
      <c r="O157" s="20">
        <f>(N157+J157)*(1000/Volumes!D153)</f>
        <v>1.6647709969721598E-4</v>
      </c>
      <c r="P157" s="22">
        <f t="shared" si="23"/>
        <v>7.3264906805747776</v>
      </c>
      <c r="Q157" s="5">
        <f t="shared" si="28"/>
        <v>1.999556444463261</v>
      </c>
    </row>
    <row r="158" spans="1:17" x14ac:dyDescent="0.15">
      <c r="A158" t="s">
        <v>243</v>
      </c>
      <c r="B158" s="49">
        <v>1585.7871012385799</v>
      </c>
      <c r="C158">
        <f t="shared" si="21"/>
        <v>1.58578710123858E-3</v>
      </c>
      <c r="D158">
        <v>308.14999999999998</v>
      </c>
      <c r="E158">
        <f t="shared" si="24"/>
        <v>2.6462895903596996E-2</v>
      </c>
      <c r="F158" s="1">
        <v>2</v>
      </c>
      <c r="G158">
        <f t="shared" si="22"/>
        <v>0.01</v>
      </c>
      <c r="H158" s="19">
        <f t="shared" si="25"/>
        <v>4.9161123285617822E-7</v>
      </c>
      <c r="I158" s="19">
        <f t="shared" si="26"/>
        <v>5.6021457189118354E-11</v>
      </c>
      <c r="J158" s="4">
        <f>(Volumes!B154+Volumes!C154)/1000*B158*(10^-6)/($J$2*D158)</f>
        <v>1.3859740962283378E-6</v>
      </c>
      <c r="K158" s="24">
        <f>(Volumes!B154/1000)*C158*E158*((Volumes!D154+Volumes!C154)/Volumes!C154/1000)</f>
        <v>2.7696582530326622E-10</v>
      </c>
      <c r="L158" s="19">
        <f>J158*(H158/1000*Volumes!B154)/(G158/1000*Volumes!B154)</f>
        <v>6.8136043415354069E-11</v>
      </c>
      <c r="M158" s="19">
        <f>L158*(I158/1000*Volumes!B154)/(G158/1000*Volumes!B154)</f>
        <v>3.8170804392291672E-19</v>
      </c>
      <c r="N158" s="20">
        <f t="shared" si="27"/>
        <v>3.4510186910032831E-10</v>
      </c>
      <c r="O158" s="20">
        <f>(N158+J158)*(1000/Volumes!D154)</f>
        <v>2.7726383961948763E-4</v>
      </c>
      <c r="P158" s="22">
        <f t="shared" si="23"/>
        <v>12.20210431781403</v>
      </c>
      <c r="Q158" s="5">
        <f t="shared" si="28"/>
        <v>3.3302159776696652</v>
      </c>
    </row>
    <row r="159" spans="1:17" x14ac:dyDescent="0.15">
      <c r="A159" t="s">
        <v>244</v>
      </c>
      <c r="B159" s="49">
        <v>1069.5112744046201</v>
      </c>
      <c r="C159">
        <f t="shared" si="21"/>
        <v>1.0695112744046201E-3</v>
      </c>
      <c r="D159">
        <v>308.14999999999998</v>
      </c>
      <c r="E159">
        <f t="shared" si="24"/>
        <v>2.6462895903596996E-2</v>
      </c>
      <c r="F159" s="1">
        <v>2</v>
      </c>
      <c r="G159">
        <f t="shared" si="22"/>
        <v>0.01</v>
      </c>
      <c r="H159" s="19">
        <f t="shared" si="25"/>
        <v>4.9161123285617822E-7</v>
      </c>
      <c r="I159" s="19">
        <f t="shared" si="26"/>
        <v>5.6021457189118354E-11</v>
      </c>
      <c r="J159" s="4">
        <f>(Volumes!B155+Volumes!C155)/1000*B159*(10^-6)/($J$2*D159)</f>
        <v>9.3475027056986296E-7</v>
      </c>
      <c r="K159" s="24">
        <f>(Volumes!B155/1000)*C159*E159*((Volumes!D155+Volumes!C155)/Volumes!C155/1000)</f>
        <v>1.8679561244713263E-10</v>
      </c>
      <c r="L159" s="19">
        <f>J159*(H159/1000*Volumes!B155)/(G159/1000*Volumes!B155)</f>
        <v>4.5953373292749658E-11</v>
      </c>
      <c r="M159" s="19">
        <f>L159*(I159/1000*Volumes!B155)/(G159/1000*Volumes!B155)</f>
        <v>2.5743749346153497E-19</v>
      </c>
      <c r="N159" s="20">
        <f t="shared" si="27"/>
        <v>2.3274898599731977E-10</v>
      </c>
      <c r="O159" s="20">
        <f>(N159+J159)*(1000/Volumes!D155)</f>
        <v>1.8699660391117206E-4</v>
      </c>
      <c r="P159" s="22">
        <f t="shared" si="23"/>
        <v>8.2295335415267701</v>
      </c>
      <c r="Q159" s="5">
        <f t="shared" si="28"/>
        <v>2.2460162095770873</v>
      </c>
    </row>
    <row r="160" spans="1:17" x14ac:dyDescent="0.15">
      <c r="A160" t="s">
        <v>245</v>
      </c>
      <c r="B160" s="49">
        <v>847</v>
      </c>
      <c r="C160">
        <f t="shared" si="21"/>
        <v>8.4699999999999999E-4</v>
      </c>
      <c r="D160">
        <v>308.14999999999998</v>
      </c>
      <c r="E160">
        <f t="shared" si="24"/>
        <v>2.6462895903596996E-2</v>
      </c>
      <c r="F160" s="1">
        <v>2</v>
      </c>
      <c r="G160">
        <f t="shared" si="22"/>
        <v>0.01</v>
      </c>
      <c r="H160" s="19">
        <f t="shared" si="25"/>
        <v>4.9161123285617822E-7</v>
      </c>
      <c r="I160" s="19">
        <f t="shared" si="26"/>
        <v>5.6021457189118354E-11</v>
      </c>
      <c r="J160" s="4">
        <f>(Volumes!B156+Volumes!C156)/1000*B160*(10^-6)/($J$2*D160)</f>
        <v>7.4027595418610187E-7</v>
      </c>
      <c r="K160" s="24">
        <f>(Volumes!B156/1000)*C160*E160*((Volumes!D156+Volumes!C156)/Volumes!C156/1000)</f>
        <v>1.4793288068028792E-10</v>
      </c>
      <c r="L160" s="19">
        <f>J160*(H160/1000*Volumes!B156)/(G160/1000*Volumes!B156)</f>
        <v>3.6392797449121328E-11</v>
      </c>
      <c r="M160" s="19">
        <f>L160*(I160/1000*Volumes!B156)/(G160/1000*Volumes!B156)</f>
        <v>2.038777544288206E-19</v>
      </c>
      <c r="N160" s="20">
        <f t="shared" si="27"/>
        <v>1.8432567833328702E-10</v>
      </c>
      <c r="O160" s="20">
        <f>(N160+J160)*(1000/Volumes!D156)</f>
        <v>1.4809205597288703E-4</v>
      </c>
      <c r="P160" s="22">
        <f t="shared" si="23"/>
        <v>6.517383291310785</v>
      </c>
      <c r="Q160" s="5">
        <f t="shared" si="28"/>
        <v>1.7787336842903458</v>
      </c>
    </row>
    <row r="161" spans="1:17" x14ac:dyDescent="0.15">
      <c r="A161" t="s">
        <v>246</v>
      </c>
      <c r="B161" s="49">
        <v>1288.80732992511</v>
      </c>
      <c r="C161">
        <f t="shared" si="21"/>
        <v>1.2888073299251101E-3</v>
      </c>
      <c r="D161">
        <v>308.14999999999998</v>
      </c>
      <c r="E161">
        <f t="shared" si="24"/>
        <v>2.6462895903596996E-2</v>
      </c>
      <c r="F161" s="1">
        <v>2</v>
      </c>
      <c r="G161">
        <f t="shared" si="22"/>
        <v>0.01</v>
      </c>
      <c r="H161" s="19">
        <f t="shared" si="25"/>
        <v>4.9161123285617822E-7</v>
      </c>
      <c r="I161" s="19">
        <f t="shared" si="26"/>
        <v>5.6021457189118354E-11</v>
      </c>
      <c r="J161" s="4">
        <f>(Volumes!B157+Volumes!C157)/1000*B161*(10^-6)/($J$2*D161)</f>
        <v>1.1264144934148205E-6</v>
      </c>
      <c r="K161" s="24">
        <f>(Volumes!B157/1000)*C161*E161*((Volumes!D157+Volumes!C157)/Volumes!C157/1000)</f>
        <v>2.2509678979656646E-10</v>
      </c>
      <c r="L161" s="19">
        <f>J161*(H161/1000*Volumes!B157)/(G161/1000*Volumes!B157)</f>
        <v>5.5375801781472738E-11</v>
      </c>
      <c r="M161" s="19">
        <f>L161*(I161/1000*Volumes!B157)/(G161/1000*Volumes!B157)</f>
        <v>3.1022331088138788E-19</v>
      </c>
      <c r="N161" s="20">
        <f t="shared" si="27"/>
        <v>2.8047259188826254E-10</v>
      </c>
      <c r="O161" s="20">
        <f>(N161+J161)*(1000/Volumes!D157)</f>
        <v>2.2533899320134176E-4</v>
      </c>
      <c r="P161" s="22">
        <f t="shared" si="23"/>
        <v>9.9169437517978487</v>
      </c>
      <c r="Q161" s="5">
        <f t="shared" si="28"/>
        <v>2.7065466473413156</v>
      </c>
    </row>
    <row r="162" spans="1:17" x14ac:dyDescent="0.15">
      <c r="A162" t="s">
        <v>247</v>
      </c>
      <c r="B162" s="49">
        <v>910</v>
      </c>
      <c r="C162">
        <f t="shared" si="21"/>
        <v>9.1E-4</v>
      </c>
      <c r="D162">
        <v>308.14999999999998</v>
      </c>
      <c r="E162">
        <f t="shared" si="24"/>
        <v>2.6462895903596996E-2</v>
      </c>
      <c r="F162" s="1">
        <v>2</v>
      </c>
      <c r="G162">
        <f t="shared" si="22"/>
        <v>0.01</v>
      </c>
      <c r="H162" s="19">
        <f t="shared" si="25"/>
        <v>4.9161123285617822E-7</v>
      </c>
      <c r="I162" s="19">
        <f t="shared" si="26"/>
        <v>5.6021457189118354E-11</v>
      </c>
      <c r="J162" s="4">
        <f>(Volumes!B158+Volumes!C158)/1000*B162*(10^-6)/($J$2*D162)</f>
        <v>7.9533780201812602E-7</v>
      </c>
      <c r="K162" s="24">
        <f>(Volumes!B158/1000)*C162*E162*((Volumes!D158+Volumes!C158)/Volumes!C158/1000)</f>
        <v>1.5893615279700354E-10</v>
      </c>
      <c r="L162" s="19">
        <f>J162*(H162/1000*Volumes!B158)/(G162/1000*Volumes!B158)</f>
        <v>3.9099699738725395E-11</v>
      </c>
      <c r="M162" s="19">
        <f>L162*(I162/1000*Volumes!B158)/(G162/1000*Volumes!B158)</f>
        <v>2.190422155020387E-19</v>
      </c>
      <c r="N162" s="20">
        <f t="shared" si="27"/>
        <v>1.9803585275477114E-10</v>
      </c>
      <c r="O162" s="20">
        <f>(N162+J162)*(1000/Volumes!D158)</f>
        <v>1.5910716757417615E-4</v>
      </c>
      <c r="P162" s="22">
        <f t="shared" si="23"/>
        <v>7.0021473377719179</v>
      </c>
      <c r="Q162" s="5">
        <f t="shared" si="28"/>
        <v>1.9110361897334296</v>
      </c>
    </row>
    <row r="163" spans="1:17" x14ac:dyDescent="0.15">
      <c r="A163" t="s">
        <v>248</v>
      </c>
      <c r="B163" s="49">
        <v>956.05867373379704</v>
      </c>
      <c r="C163">
        <f t="shared" si="21"/>
        <v>9.5605867373379702E-4</v>
      </c>
      <c r="D163">
        <v>308.14999999999998</v>
      </c>
      <c r="E163">
        <f t="shared" si="24"/>
        <v>2.6462895903596996E-2</v>
      </c>
      <c r="F163" s="1">
        <v>2</v>
      </c>
      <c r="G163">
        <f t="shared" si="22"/>
        <v>0.01</v>
      </c>
      <c r="H163" s="19">
        <f t="shared" si="25"/>
        <v>4.9161123285617822E-7</v>
      </c>
      <c r="I163" s="19">
        <f t="shared" si="26"/>
        <v>5.6021457189118354E-11</v>
      </c>
      <c r="J163" s="4">
        <f>(Volumes!B159+Volumes!C159)/1000*B163*(10^-6)/($J$2*D163)</f>
        <v>8.3559297161297012E-7</v>
      </c>
      <c r="K163" s="24">
        <f>(Volumes!B159/1000)*C163*E163*((Volumes!D159+Volumes!C159)/Volumes!C159/1000)</f>
        <v>1.6698053566093993E-10</v>
      </c>
      <c r="L163" s="19">
        <f>J163*(H163/1000*Volumes!B159)/(G163/1000*Volumes!B159)</f>
        <v>4.1078689094060983E-11</v>
      </c>
      <c r="M163" s="19">
        <f>L163*(I163/1000*Volumes!B159)/(G163/1000*Volumes!B159)</f>
        <v>2.3012880224680405E-19</v>
      </c>
      <c r="N163" s="20">
        <f t="shared" si="27"/>
        <v>2.0805922498512971E-10</v>
      </c>
      <c r="O163" s="20">
        <f>(N163+J163)*(1000/Volumes!D159)</f>
        <v>1.6716020616759105E-4</v>
      </c>
      <c r="P163" s="22">
        <f t="shared" si="23"/>
        <v>7.3565535132295148</v>
      </c>
      <c r="Q163" s="5">
        <f t="shared" si="28"/>
        <v>2.0077612362789359</v>
      </c>
    </row>
    <row r="164" spans="1:17" x14ac:dyDescent="0.15">
      <c r="A164" t="s">
        <v>249</v>
      </c>
      <c r="B164" s="49">
        <v>1182</v>
      </c>
      <c r="C164">
        <f t="shared" si="21"/>
        <v>1.1820000000000001E-3</v>
      </c>
      <c r="D164">
        <v>308.14999999999998</v>
      </c>
      <c r="E164">
        <f t="shared" si="24"/>
        <v>2.6462895903596996E-2</v>
      </c>
      <c r="F164" s="1">
        <v>2</v>
      </c>
      <c r="G164">
        <f t="shared" si="22"/>
        <v>0.01</v>
      </c>
      <c r="H164" s="19">
        <f t="shared" si="25"/>
        <v>4.9161123285617822E-7</v>
      </c>
      <c r="I164" s="19">
        <f t="shared" si="26"/>
        <v>5.6021457189118354E-11</v>
      </c>
      <c r="J164" s="4">
        <f>(Volumes!B160+Volumes!C160)/1000*B164*(10^-6)/($J$2*D164)</f>
        <v>1.0330651450389286E-6</v>
      </c>
      <c r="K164" s="24">
        <f>(Volumes!B160/1000)*C164*E164*((Volumes!D160+Volumes!C160)/Volumes!C160/1000)</f>
        <v>2.0644234352314092E-10</v>
      </c>
      <c r="L164" s="19">
        <f>J164*(H164/1000*Volumes!B160)/(G164/1000*Volumes!B160)</f>
        <v>5.078664295733343E-11</v>
      </c>
      <c r="M164" s="19">
        <f>L164*(I164/1000*Volumes!B160)/(G164/1000*Volumes!B160)</f>
        <v>2.8451417442132937E-19</v>
      </c>
      <c r="N164" s="20">
        <f t="shared" si="27"/>
        <v>2.5722898676498854E-10</v>
      </c>
      <c r="O164" s="20">
        <f>(N164+J164)*(1000/Volumes!D160)</f>
        <v>2.0666447480513874E-4</v>
      </c>
      <c r="P164" s="22">
        <f t="shared" si="23"/>
        <v>9.0950968716993508</v>
      </c>
      <c r="Q164" s="5">
        <f t="shared" si="28"/>
        <v>2.4822470068845215</v>
      </c>
    </row>
    <row r="165" spans="1:17" x14ac:dyDescent="0.15">
      <c r="A165" t="s">
        <v>250</v>
      </c>
      <c r="B165" s="49">
        <v>953</v>
      </c>
      <c r="C165">
        <f t="shared" si="21"/>
        <v>9.5299999999999996E-4</v>
      </c>
      <c r="D165">
        <v>308.14999999999998</v>
      </c>
      <c r="E165">
        <f t="shared" si="24"/>
        <v>2.6462895903596996E-2</v>
      </c>
      <c r="F165" s="1">
        <v>2</v>
      </c>
      <c r="G165">
        <f t="shared" si="22"/>
        <v>0.01</v>
      </c>
      <c r="H165" s="19">
        <f t="shared" si="25"/>
        <v>4.9161123285617822E-7</v>
      </c>
      <c r="I165" s="19">
        <f t="shared" si="26"/>
        <v>5.6021457189118354E-11</v>
      </c>
      <c r="J165" s="4">
        <f>(Volumes!B161+Volumes!C161)/1000*B165*(10^-6)/($J$2*D165)</f>
        <v>8.3291969815744404E-7</v>
      </c>
      <c r="K165" s="24">
        <f>(Volumes!B161/1000)*C165*E165*((Volumes!D161+Volumes!C161)/Volumes!C161/1000)</f>
        <v>1.6644632265444435E-10</v>
      </c>
      <c r="L165" s="19">
        <f>J165*(H165/1000*Volumes!B161)/(G165/1000*Volumes!B161)</f>
        <v>4.0947267968137699E-11</v>
      </c>
      <c r="M165" s="19">
        <f>L165*(I165/1000*Volumes!B161)/(G165/1000*Volumes!B161)</f>
        <v>2.2939256194883831E-19</v>
      </c>
      <c r="N165" s="20">
        <f t="shared" si="27"/>
        <v>2.0739359085197461E-10</v>
      </c>
      <c r="O165" s="20">
        <f>(N165+J165)*(1000/Volumes!D161)</f>
        <v>1.6662541834965922E-4</v>
      </c>
      <c r="P165" s="22">
        <f t="shared" si="23"/>
        <v>7.3330180361501522</v>
      </c>
      <c r="Q165" s="5">
        <f t="shared" si="28"/>
        <v>2.0013378997977567</v>
      </c>
    </row>
    <row r="166" spans="1:17" x14ac:dyDescent="0.15">
      <c r="A166" t="s">
        <v>251</v>
      </c>
      <c r="B166" s="49">
        <v>1352.7181405076799</v>
      </c>
      <c r="C166">
        <f t="shared" si="21"/>
        <v>1.3527181405076799E-3</v>
      </c>
      <c r="D166">
        <v>308.14999999999998</v>
      </c>
      <c r="E166">
        <f t="shared" si="24"/>
        <v>2.6462895903596996E-2</v>
      </c>
      <c r="F166" s="1">
        <v>2</v>
      </c>
      <c r="G166">
        <f t="shared" si="22"/>
        <v>0.01</v>
      </c>
      <c r="H166" s="19">
        <f t="shared" si="25"/>
        <v>4.9161123285617822E-7</v>
      </c>
      <c r="I166" s="19">
        <f t="shared" si="26"/>
        <v>5.6021457189118354E-11</v>
      </c>
      <c r="J166" s="4">
        <f>(Volumes!B162+Volumes!C162)/1000*B166*(10^-6)/($J$2*D166)</f>
        <v>1.1822723874960712E-6</v>
      </c>
      <c r="K166" s="24">
        <f>(Volumes!B162/1000)*C166*E166*((Volumes!D162+Volumes!C162)/Volumes!C162/1000)</f>
        <v>2.3625913963846935E-10</v>
      </c>
      <c r="L166" s="19">
        <f>J166*(H166/1000*Volumes!B162)/(G166/1000*Volumes!B162)</f>
        <v>5.8121838598876091E-11</v>
      </c>
      <c r="M166" s="19">
        <f>L166*(I166/1000*Volumes!B162)/(G166/1000*Volumes!B162)</f>
        <v>3.2560700928197832E-19</v>
      </c>
      <c r="N166" s="20">
        <f t="shared" si="27"/>
        <v>2.9438097856295245E-10</v>
      </c>
      <c r="O166" s="20">
        <f>(N166+J166)*(1000/Volumes!D162)</f>
        <v>2.3651335369492683E-4</v>
      </c>
      <c r="P166" s="22">
        <f t="shared" si="23"/>
        <v>10.408716182760035</v>
      </c>
      <c r="Q166" s="5">
        <f t="shared" si="28"/>
        <v>2.8407618912297656</v>
      </c>
    </row>
    <row r="167" spans="1:17" x14ac:dyDescent="0.15">
      <c r="A167" t="s">
        <v>252</v>
      </c>
      <c r="B167" s="49">
        <v>982.497597660324</v>
      </c>
      <c r="C167">
        <f t="shared" si="21"/>
        <v>9.8249759766032394E-4</v>
      </c>
      <c r="D167">
        <v>308.14999999999998</v>
      </c>
      <c r="E167">
        <f t="shared" si="24"/>
        <v>2.6462895903596996E-2</v>
      </c>
      <c r="F167" s="1">
        <v>2</v>
      </c>
      <c r="G167">
        <f t="shared" si="22"/>
        <v>0.01</v>
      </c>
      <c r="H167" s="19">
        <f t="shared" si="25"/>
        <v>4.9161123285617822E-7</v>
      </c>
      <c r="I167" s="19">
        <f t="shared" si="26"/>
        <v>5.6021457189118354E-11</v>
      </c>
      <c r="J167" s="4">
        <f>(Volumes!B163+Volumes!C163)/1000*B167*(10^-6)/($J$2*D167)</f>
        <v>8.5870052726511119E-7</v>
      </c>
      <c r="K167" s="24">
        <f>(Volumes!B163/1000)*C167*E167*((Volumes!D163+Volumes!C163)/Volumes!C163/1000)</f>
        <v>1.7159822890596723E-10</v>
      </c>
      <c r="L167" s="19">
        <f>J167*(H167/1000*Volumes!B163)/(G167/1000*Volumes!B163)</f>
        <v>4.221468248630516E-11</v>
      </c>
      <c r="M167" s="19">
        <f>L167*(I167/1000*Volumes!B163)/(G167/1000*Volumes!B163)</f>
        <v>2.3649280276587686E-19</v>
      </c>
      <c r="N167" s="20">
        <f t="shared" si="27"/>
        <v>2.138129116287652E-10</v>
      </c>
      <c r="O167" s="20">
        <f>(N167+J167)*(1000/Volumes!D163)</f>
        <v>1.7178286803534799E-4</v>
      </c>
      <c r="P167" s="22">
        <f t="shared" si="23"/>
        <v>7.55999223936763</v>
      </c>
      <c r="Q167" s="5">
        <f t="shared" si="28"/>
        <v>2.0632840279725646</v>
      </c>
    </row>
    <row r="168" spans="1:17" x14ac:dyDescent="0.15">
      <c r="A168" t="s">
        <v>253</v>
      </c>
      <c r="B168" s="49">
        <v>1277.29661853215</v>
      </c>
      <c r="C168">
        <f t="shared" si="21"/>
        <v>1.27729661853215E-3</v>
      </c>
      <c r="D168">
        <v>308.14999999999998</v>
      </c>
      <c r="E168">
        <f t="shared" si="24"/>
        <v>2.6462895903596996E-2</v>
      </c>
      <c r="F168" s="1">
        <v>2</v>
      </c>
      <c r="G168">
        <f t="shared" si="22"/>
        <v>0.01</v>
      </c>
      <c r="H168" s="19">
        <f t="shared" si="25"/>
        <v>4.9161123285617822E-7</v>
      </c>
      <c r="I168" s="19">
        <f t="shared" si="26"/>
        <v>5.6021457189118354E-11</v>
      </c>
      <c r="J168" s="4">
        <f>(Volumes!B164+Volumes!C164)/1000*B168*(10^-6)/($J$2*D168)</f>
        <v>1.1163541594599394E-6</v>
      </c>
      <c r="K168" s="24">
        <f>(Volumes!B164/1000)*C168*E168*((Volumes!D164+Volumes!C164)/Volumes!C164/1000)</f>
        <v>2.2308638519793597E-10</v>
      </c>
      <c r="L168" s="19">
        <f>J168*(H168/1000*Volumes!B164)/(G168/1000*Volumes!B164)</f>
        <v>5.4881224463622343E-11</v>
      </c>
      <c r="M168" s="19">
        <f>L168*(I168/1000*Volumes!B164)/(G168/1000*Volumes!B164)</f>
        <v>3.0745261667752142E-19</v>
      </c>
      <c r="N168" s="20">
        <f t="shared" si="27"/>
        <v>2.7796760996901095E-10</v>
      </c>
      <c r="O168" s="20">
        <f>(N168+J168)*(1000/Volumes!D164)</f>
        <v>2.2332642541398167E-4</v>
      </c>
      <c r="P168" s="22">
        <f t="shared" si="23"/>
        <v>9.8283726560439195</v>
      </c>
      <c r="Q168" s="5">
        <f t="shared" si="28"/>
        <v>2.6823736956473336</v>
      </c>
    </row>
    <row r="169" spans="1:17" x14ac:dyDescent="0.15">
      <c r="A169" t="s">
        <v>254</v>
      </c>
      <c r="B169" s="49">
        <v>729.46621688465495</v>
      </c>
      <c r="C169">
        <f t="shared" si="21"/>
        <v>7.29466216884655E-4</v>
      </c>
      <c r="D169">
        <v>308.14999999999998</v>
      </c>
      <c r="E169">
        <f t="shared" si="24"/>
        <v>2.6462895903596996E-2</v>
      </c>
      <c r="F169" s="1">
        <v>2</v>
      </c>
      <c r="G169">
        <f t="shared" si="22"/>
        <v>0.01</v>
      </c>
      <c r="H169" s="19">
        <f t="shared" si="25"/>
        <v>4.9161123285617822E-7</v>
      </c>
      <c r="I169" s="19">
        <f t="shared" si="26"/>
        <v>5.6021457189118354E-11</v>
      </c>
      <c r="J169" s="4">
        <f>(Volumes!B165+Volumes!C165)/1000*B169*(10^-6)/($J$2*D169)</f>
        <v>6.3755171163024058E-7</v>
      </c>
      <c r="K169" s="24">
        <f>(Volumes!B165/1000)*C169*E169*((Volumes!D165+Volumes!C165)/Volumes!C165/1000)</f>
        <v>1.2740500451322161E-10</v>
      </c>
      <c r="L169" s="19">
        <f>J169*(H169/1000*Volumes!B165)/(G169/1000*Volumes!B165)</f>
        <v>3.1342758296410926E-11</v>
      </c>
      <c r="M169" s="19">
        <f>L169*(I169/1000*Volumes!B165)/(G169/1000*Volumes!B165)</f>
        <v>1.7558669920912689E-19</v>
      </c>
      <c r="N169" s="20">
        <f t="shared" si="27"/>
        <v>1.5874776298521922E-10</v>
      </c>
      <c r="O169" s="20">
        <f>(N169+J169)*(1000/Volumes!D165)</f>
        <v>1.2754209187864517E-4</v>
      </c>
      <c r="P169" s="22">
        <f t="shared" si="23"/>
        <v>5.6129999214872957</v>
      </c>
      <c r="Q169" s="5">
        <f t="shared" si="28"/>
        <v>1.5319080655544071</v>
      </c>
    </row>
    <row r="170" spans="1:17" x14ac:dyDescent="0.15">
      <c r="A170" t="s">
        <v>255</v>
      </c>
      <c r="B170" s="49">
        <v>1489.5935491381499</v>
      </c>
      <c r="C170">
        <f t="shared" si="21"/>
        <v>1.4895935491381499E-3</v>
      </c>
      <c r="D170">
        <v>308.14999999999998</v>
      </c>
      <c r="E170">
        <f t="shared" si="24"/>
        <v>2.6462895903596996E-2</v>
      </c>
      <c r="F170" s="1">
        <v>2</v>
      </c>
      <c r="G170">
        <f t="shared" si="22"/>
        <v>0.01</v>
      </c>
      <c r="H170" s="19">
        <f t="shared" si="25"/>
        <v>4.9161123285617822E-7</v>
      </c>
      <c r="I170" s="19">
        <f t="shared" si="26"/>
        <v>5.6021457189118354E-11</v>
      </c>
      <c r="J170" s="4">
        <f>(Volumes!B166+Volumes!C166)/1000*B170*(10^-6)/($J$2*D170)</f>
        <v>1.3019011640350718E-6</v>
      </c>
      <c r="K170" s="24">
        <f>(Volumes!B166/1000)*C170*E170*((Volumes!D166+Volumes!C166)/Volumes!C166/1000)</f>
        <v>2.6016512959478222E-10</v>
      </c>
      <c r="L170" s="19">
        <f>J170*(H170/1000*Volumes!B166)/(G170/1000*Volumes!B166)</f>
        <v>6.4002923630817525E-11</v>
      </c>
      <c r="M170" s="19">
        <f>L170*(I170/1000*Volumes!B166)/(G170/1000*Volumes!B166)</f>
        <v>3.5855370461622551E-19</v>
      </c>
      <c r="N170" s="20">
        <f t="shared" si="27"/>
        <v>3.2416805358415341E-10</v>
      </c>
      <c r="O170" s="20">
        <f>(N170+J170)*(1000/Volumes!D166)</f>
        <v>2.6044506641773117E-4</v>
      </c>
      <c r="P170" s="22">
        <f t="shared" si="23"/>
        <v>11.461926927977931</v>
      </c>
      <c r="Q170" s="5">
        <f t="shared" si="28"/>
        <v>3.1282056927433692</v>
      </c>
    </row>
    <row r="171" spans="1:17" x14ac:dyDescent="0.15">
      <c r="A171" t="s">
        <v>256</v>
      </c>
      <c r="B171" s="49">
        <v>595.13571428988996</v>
      </c>
      <c r="C171">
        <f t="shared" si="21"/>
        <v>5.9513571428988993E-4</v>
      </c>
      <c r="D171">
        <v>308.14999999999998</v>
      </c>
      <c r="E171">
        <f t="shared" si="24"/>
        <v>2.6462895903596996E-2</v>
      </c>
      <c r="F171" s="1">
        <v>2</v>
      </c>
      <c r="G171">
        <f t="shared" si="22"/>
        <v>0.01</v>
      </c>
      <c r="H171" s="19">
        <f t="shared" si="25"/>
        <v>4.9161123285617822E-7</v>
      </c>
      <c r="I171" s="19">
        <f t="shared" si="26"/>
        <v>5.6021457189118354E-11</v>
      </c>
      <c r="J171" s="4">
        <f>(Volumes!B167+Volumes!C167)/1000*B171*(10^-6)/($J$2*D171)</f>
        <v>5.2014717681956974E-7</v>
      </c>
      <c r="K171" s="24">
        <f>(Volumes!B167/1000)*C171*E171*((Volumes!D167+Volumes!C167)/Volumes!C167/1000)</f>
        <v>1.0394349540805691E-10</v>
      </c>
      <c r="L171" s="19">
        <f>J171*(H171/1000*Volumes!B167)/(G171/1000*Volumes!B167)</f>
        <v>2.5571019486292925E-11</v>
      </c>
      <c r="M171" s="19">
        <f>L171*(I171/1000*Volumes!B167)/(G171/1000*Volumes!B167)</f>
        <v>1.4325257734334704E-19</v>
      </c>
      <c r="N171" s="20">
        <f t="shared" si="27"/>
        <v>1.2951451503760242E-10</v>
      </c>
      <c r="O171" s="20">
        <f>(N171+J171)*(1000/Volumes!D167)</f>
        <v>1.0405533826692146E-4</v>
      </c>
      <c r="P171" s="22">
        <f t="shared" si="23"/>
        <v>4.5793713817889463</v>
      </c>
      <c r="Q171" s="5">
        <f t="shared" si="28"/>
        <v>1.2498086679239935</v>
      </c>
    </row>
    <row r="172" spans="1:17" x14ac:dyDescent="0.15">
      <c r="A172" t="s">
        <v>257</v>
      </c>
      <c r="B172" s="49">
        <v>1084.57194702839</v>
      </c>
      <c r="C172">
        <f t="shared" si="21"/>
        <v>1.0845719470283901E-3</v>
      </c>
      <c r="D172">
        <v>308.14999999999998</v>
      </c>
      <c r="E172">
        <f t="shared" si="24"/>
        <v>2.6462895903596996E-2</v>
      </c>
      <c r="F172" s="1">
        <v>2</v>
      </c>
      <c r="G172">
        <f t="shared" si="22"/>
        <v>0.01</v>
      </c>
      <c r="H172" s="19">
        <f t="shared" si="25"/>
        <v>4.9161123285617822E-7</v>
      </c>
      <c r="I172" s="19">
        <f t="shared" si="26"/>
        <v>5.6021457189118354E-11</v>
      </c>
      <c r="J172" s="4">
        <f>(Volumes!B168+Volumes!C168)/1000*B172*(10^-6)/($J$2*D172)</f>
        <v>9.4791326206602082E-7</v>
      </c>
      <c r="K172" s="24">
        <f>(Volumes!B168/1000)*C172*E172*((Volumes!D168+Volumes!C168)/Volumes!C168/1000)</f>
        <v>1.8942603592554707E-10</v>
      </c>
      <c r="L172" s="19">
        <f>J172*(H172/1000*Volumes!B168)/(G172/1000*Volumes!B168)</f>
        <v>4.6600480740499812E-11</v>
      </c>
      <c r="M172" s="19">
        <f>L172*(I172/1000*Volumes!B168)/(G172/1000*Volumes!B168)</f>
        <v>2.6106268367962446E-19</v>
      </c>
      <c r="N172" s="20">
        <f t="shared" si="27"/>
        <v>2.360265169271096E-10</v>
      </c>
      <c r="O172" s="20">
        <f>(N172+J172)*(1000/Volumes!D168)</f>
        <v>1.8962985771658959E-4</v>
      </c>
      <c r="P172" s="22">
        <f t="shared" si="23"/>
        <v>8.3454204082493924</v>
      </c>
      <c r="Q172" s="5">
        <f t="shared" si="28"/>
        <v>2.2776442210339578</v>
      </c>
    </row>
    <row r="173" spans="1:17" x14ac:dyDescent="0.15">
      <c r="A173" t="s">
        <v>258</v>
      </c>
      <c r="B173" s="49">
        <v>1144.20967604731</v>
      </c>
      <c r="C173">
        <f t="shared" si="21"/>
        <v>1.1442096760473101E-3</v>
      </c>
      <c r="D173">
        <v>308.14999999999998</v>
      </c>
      <c r="E173">
        <f t="shared" si="24"/>
        <v>2.6462895903596996E-2</v>
      </c>
      <c r="F173" s="1">
        <v>2</v>
      </c>
      <c r="G173">
        <f t="shared" si="22"/>
        <v>0.01</v>
      </c>
      <c r="H173" s="19">
        <f t="shared" si="25"/>
        <v>4.9161123285617822E-7</v>
      </c>
      <c r="I173" s="19">
        <f t="shared" si="26"/>
        <v>5.6021457189118354E-11</v>
      </c>
      <c r="J173" s="4">
        <f>(Volumes!B169+Volumes!C169)/1000*B173*(10^-6)/($J$2*D173)</f>
        <v>1.0000364931816916E-6</v>
      </c>
      <c r="K173" s="24">
        <f>(Volumes!B169/1000)*C173*E173*((Volumes!D169+Volumes!C169)/Volumes!C169/1000)</f>
        <v>1.998420702242475E-10</v>
      </c>
      <c r="L173" s="19">
        <f>J173*(H173/1000*Volumes!B169)/(G173/1000*Volumes!B169)</f>
        <v>4.9162917331422054E-11</v>
      </c>
      <c r="M173" s="19">
        <f>L173*(I173/1000*Volumes!B169)/(G173/1000*Volumes!B169)</f>
        <v>2.7541782685744254E-19</v>
      </c>
      <c r="N173" s="20">
        <f t="shared" si="27"/>
        <v>2.4900498783108742E-10</v>
      </c>
      <c r="O173" s="20">
        <f>(N173+J173)*(1000/Volumes!D169)</f>
        <v>2.0005709963390455E-4</v>
      </c>
      <c r="P173" s="22">
        <f t="shared" si="23"/>
        <v>8.8043128977885043</v>
      </c>
      <c r="Q173" s="5">
        <f t="shared" si="28"/>
        <v>2.4028858237028272</v>
      </c>
    </row>
    <row r="174" spans="1:17" x14ac:dyDescent="0.15">
      <c r="A174" t="s">
        <v>259</v>
      </c>
      <c r="B174" s="49">
        <v>1047</v>
      </c>
      <c r="C174">
        <f t="shared" si="21"/>
        <v>1.047E-3</v>
      </c>
      <c r="D174">
        <v>308.14999999999998</v>
      </c>
      <c r="E174">
        <f t="shared" si="24"/>
        <v>2.6462895903596996E-2</v>
      </c>
      <c r="F174" s="1">
        <v>2</v>
      </c>
      <c r="G174">
        <f t="shared" si="22"/>
        <v>0.01</v>
      </c>
      <c r="H174" s="19">
        <f t="shared" si="25"/>
        <v>4.9161123285617822E-7</v>
      </c>
      <c r="I174" s="19">
        <f t="shared" si="26"/>
        <v>5.6021457189118354E-11</v>
      </c>
      <c r="J174" s="4">
        <f>(Volumes!B170+Volumes!C170)/1000*B174*(10^-6)/($J$2*D174)</f>
        <v>9.1507547111316243E-7</v>
      </c>
      <c r="K174" s="24">
        <f>(Volumes!B170/1000)*C174*E174*((Volumes!D170+Volumes!C170)/Volumes!C170/1000)</f>
        <v>1.8286390327303592E-10</v>
      </c>
      <c r="L174" s="19">
        <f>J174*(H174/1000*Volumes!B170)/(G174/1000*Volumes!B170)</f>
        <v>4.4986138051038993E-11</v>
      </c>
      <c r="M174" s="19">
        <f>L174*(I174/1000*Volumes!B170)/(G174/1000*Volumes!B170)</f>
        <v>2.5201890069300489E-19</v>
      </c>
      <c r="N174" s="20">
        <f t="shared" si="27"/>
        <v>2.278500415760938E-10</v>
      </c>
      <c r="O174" s="20">
        <f>(N174+J174)*(1000/Volumes!D170)</f>
        <v>1.8306066423094772E-4</v>
      </c>
      <c r="P174" s="22">
        <f t="shared" si="23"/>
        <v>8.0563167721397786</v>
      </c>
      <c r="Q174" s="5">
        <f t="shared" si="28"/>
        <v>2.1987416380779128</v>
      </c>
    </row>
    <row r="175" spans="1:17" x14ac:dyDescent="0.15">
      <c r="A175" t="s">
        <v>260</v>
      </c>
      <c r="B175" s="49">
        <v>1201.36886348902</v>
      </c>
      <c r="C175">
        <f t="shared" si="21"/>
        <v>1.2013688634890201E-3</v>
      </c>
      <c r="D175">
        <v>308.14999999999998</v>
      </c>
      <c r="E175">
        <f t="shared" si="24"/>
        <v>2.6462895903596996E-2</v>
      </c>
      <c r="F175" s="1">
        <v>2</v>
      </c>
      <c r="G175">
        <f t="shared" si="22"/>
        <v>0.01</v>
      </c>
      <c r="H175" s="19">
        <f t="shared" si="25"/>
        <v>4.9161123285617822E-7</v>
      </c>
      <c r="I175" s="19">
        <f t="shared" si="26"/>
        <v>5.6021457189118354E-11</v>
      </c>
      <c r="J175" s="4">
        <f>(Volumes!B171+Volumes!C171)/1000*B175*(10^-6)/($J$2*D175)</f>
        <v>1.0499934849454628E-6</v>
      </c>
      <c r="K175" s="24">
        <f>(Volumes!B171/1000)*C175*E175*((Volumes!D171+Volumes!C171)/Volumes!C171/1000)</f>
        <v>2.0982521456379494E-10</v>
      </c>
      <c r="L175" s="19">
        <f>J175*(H175/1000*Volumes!B171)/(G175/1000*Volumes!B171)</f>
        <v>5.1618859162499398E-11</v>
      </c>
      <c r="M175" s="19">
        <f>L175*(I175/1000*Volumes!B171)/(G175/1000*Volumes!B171)</f>
        <v>2.8917637087230895E-19</v>
      </c>
      <c r="N175" s="20">
        <f t="shared" si="27"/>
        <v>2.614440740154707E-10</v>
      </c>
      <c r="O175" s="20">
        <f>(N175+J175)*(1000/Volumes!D171)</f>
        <v>2.1005098580389566E-4</v>
      </c>
      <c r="P175" s="22">
        <f t="shared" si="23"/>
        <v>9.2441338342436445</v>
      </c>
      <c r="Q175" s="5">
        <f t="shared" si="28"/>
        <v>2.5229223904905909</v>
      </c>
    </row>
    <row r="176" spans="1:17" x14ac:dyDescent="0.15">
      <c r="A176" t="s">
        <v>261</v>
      </c>
      <c r="B176" s="49">
        <v>948.01653261704598</v>
      </c>
      <c r="C176">
        <f t="shared" si="21"/>
        <v>9.4801653261704594E-4</v>
      </c>
      <c r="D176">
        <v>308.14999999999998</v>
      </c>
      <c r="E176">
        <f t="shared" si="24"/>
        <v>2.6462895903596996E-2</v>
      </c>
      <c r="F176" s="1">
        <v>2</v>
      </c>
      <c r="G176">
        <f t="shared" si="22"/>
        <v>0.01</v>
      </c>
      <c r="H176" s="19">
        <f t="shared" si="25"/>
        <v>4.9161123285617822E-7</v>
      </c>
      <c r="I176" s="19">
        <f t="shared" si="26"/>
        <v>5.6021457189118354E-11</v>
      </c>
      <c r="J176" s="4">
        <f>(Volumes!B172+Volumes!C172)/1000*B176*(10^-6)/($J$2*D176)</f>
        <v>8.2856415970163339E-7</v>
      </c>
      <c r="K176" s="24">
        <f>(Volumes!B172/1000)*C176*E176*((Volumes!D172+Volumes!C172)/Volumes!C172/1000)</f>
        <v>1.6557593459572341E-10</v>
      </c>
      <c r="L176" s="19">
        <f>J176*(H176/1000*Volumes!B172)/(G176/1000*Volumes!B172)</f>
        <v>4.0733144805136337E-11</v>
      </c>
      <c r="M176" s="19">
        <f>L176*(I176/1000*Volumes!B172)/(G176/1000*Volumes!B172)</f>
        <v>2.2819301278791042E-19</v>
      </c>
      <c r="N176" s="20">
        <f t="shared" si="27"/>
        <v>2.0630907962905276E-10</v>
      </c>
      <c r="O176" s="20">
        <f>(N176+J176)*(1000/Volumes!D172)</f>
        <v>1.6575409375625249E-4</v>
      </c>
      <c r="P176" s="22">
        <f t="shared" si="23"/>
        <v>7.2946719121189156</v>
      </c>
      <c r="Q176" s="5">
        <f t="shared" si="28"/>
        <v>1.9908724201063486</v>
      </c>
    </row>
    <row r="177" spans="1:17" x14ac:dyDescent="0.15">
      <c r="A177" t="s">
        <v>262</v>
      </c>
      <c r="B177" s="49">
        <v>1046</v>
      </c>
      <c r="C177">
        <f t="shared" si="21"/>
        <v>1.0460000000000001E-3</v>
      </c>
      <c r="D177">
        <v>308.14999999999998</v>
      </c>
      <c r="E177">
        <f t="shared" si="24"/>
        <v>2.6462895903596996E-2</v>
      </c>
      <c r="F177" s="1">
        <v>2</v>
      </c>
      <c r="G177">
        <f t="shared" si="22"/>
        <v>0.01</v>
      </c>
      <c r="H177" s="19">
        <f t="shared" si="25"/>
        <v>4.9161123285617822E-7</v>
      </c>
      <c r="I177" s="19">
        <f t="shared" si="26"/>
        <v>5.6021457189118354E-11</v>
      </c>
      <c r="J177" s="4">
        <f>(Volumes!B173+Volumes!C173)/1000*B177*(10^-6)/($J$2*D177)</f>
        <v>9.1420147352852719E-7</v>
      </c>
      <c r="K177" s="24">
        <f>(Volumes!B173/1000)*C177*E177*((Volumes!D173+Volumes!C173)/Volumes!C173/1000)</f>
        <v>1.8268924816007224E-10</v>
      </c>
      <c r="L177" s="19">
        <f>J177*(H177/1000*Volumes!B173)/(G177/1000*Volumes!B173)</f>
        <v>4.4943171348029403E-11</v>
      </c>
      <c r="M177" s="19">
        <f>L177*(I177/1000*Volumes!B173)/(G177/1000*Volumes!B173)</f>
        <v>2.5177819496168396E-19</v>
      </c>
      <c r="N177" s="20">
        <f t="shared" si="27"/>
        <v>2.2763241975987983E-10</v>
      </c>
      <c r="O177" s="20">
        <f>(N177+J177)*(1000/Volumes!D173)</f>
        <v>1.8288582118965741E-4</v>
      </c>
      <c r="P177" s="22">
        <f t="shared" si="23"/>
        <v>8.0486221047356334</v>
      </c>
      <c r="Q177" s="5">
        <f t="shared" si="28"/>
        <v>2.1966415983089753</v>
      </c>
    </row>
    <row r="178" spans="1:17" x14ac:dyDescent="0.15">
      <c r="A178" t="s">
        <v>263</v>
      </c>
      <c r="B178" s="49">
        <v>543.88871819944097</v>
      </c>
      <c r="C178">
        <f t="shared" si="21"/>
        <v>5.4388871819944097E-4</v>
      </c>
      <c r="D178">
        <v>308.14999999999998</v>
      </c>
      <c r="E178">
        <f t="shared" si="24"/>
        <v>2.6462895903596996E-2</v>
      </c>
      <c r="F178" s="1">
        <v>2</v>
      </c>
      <c r="G178">
        <f t="shared" si="22"/>
        <v>0.01</v>
      </c>
      <c r="H178" s="19">
        <f t="shared" si="25"/>
        <v>4.9161123285617822E-7</v>
      </c>
      <c r="I178" s="19">
        <f t="shared" si="26"/>
        <v>5.6021457189118354E-11</v>
      </c>
      <c r="J178" s="4">
        <f>(Volumes!B174+Volumes!C174)/1000*B178*(10^-6)/($J$2*D178)</f>
        <v>4.7535742601670245E-7</v>
      </c>
      <c r="K178" s="24">
        <f>(Volumes!B174/1000)*C178*E178*((Volumes!D174+Volumes!C174)/Volumes!C174/1000)</f>
        <v>9.4992945516827203E-11</v>
      </c>
      <c r="L178" s="19">
        <f>J178*(H178/1000*Volumes!B174)/(G178/1000*Volumes!B174)</f>
        <v>2.3369105025141065E-11</v>
      </c>
      <c r="M178" s="19">
        <f>L178*(I178/1000*Volumes!B174)/(G178/1000*Volumes!B174)</f>
        <v>1.3091713167139507E-19</v>
      </c>
      <c r="N178" s="20">
        <f t="shared" si="27"/>
        <v>1.183620506728854E-10</v>
      </c>
      <c r="O178" s="20">
        <f>(N178+J178)*(1000/Volumes!D174)</f>
        <v>9.509515761347507E-5</v>
      </c>
      <c r="P178" s="22">
        <f t="shared" si="23"/>
        <v>4.1850427914114245</v>
      </c>
      <c r="Q178" s="5">
        <f t="shared" si="28"/>
        <v>1.1421879380954492</v>
      </c>
    </row>
    <row r="179" spans="1:17" x14ac:dyDescent="0.15">
      <c r="A179" t="s">
        <v>264</v>
      </c>
      <c r="B179" s="49">
        <v>640</v>
      </c>
      <c r="C179">
        <f t="shared" si="21"/>
        <v>6.4000000000000005E-4</v>
      </c>
      <c r="D179">
        <v>308.14999999999998</v>
      </c>
      <c r="E179">
        <f t="shared" si="24"/>
        <v>2.6462895903596996E-2</v>
      </c>
      <c r="F179" s="1">
        <v>2</v>
      </c>
      <c r="G179">
        <f t="shared" si="22"/>
        <v>0.01</v>
      </c>
      <c r="H179" s="19">
        <f t="shared" si="25"/>
        <v>4.9161123285617822E-7</v>
      </c>
      <c r="I179" s="19">
        <f t="shared" si="26"/>
        <v>5.6021457189118354E-11</v>
      </c>
      <c r="J179" s="4">
        <f>(Volumes!B175+Volumes!C175)/1000*B179*(10^-6)/($J$2*D179)</f>
        <v>5.5935845416659407E-7</v>
      </c>
      <c r="K179" s="24">
        <f>(Volumes!B175/1000)*C179*E179*((Volumes!D175+Volumes!C175)/Volumes!C175/1000)</f>
        <v>1.1177927229679373E-10</v>
      </c>
      <c r="L179" s="19">
        <f>J179*(H179/1000*Volumes!B175)/(G179/1000*Volumes!B175)</f>
        <v>2.7498689926136541E-11</v>
      </c>
      <c r="M179" s="19">
        <f>L179*(I179/1000*Volumes!B175)/(G179/1000*Volumes!B175)</f>
        <v>1.5405166804538981E-19</v>
      </c>
      <c r="N179" s="20">
        <f t="shared" si="27"/>
        <v>1.3927796237698194E-10</v>
      </c>
      <c r="O179" s="20">
        <f>(N179+J179)*(1000/Volumes!D175)</f>
        <v>1.1189954642579421E-4</v>
      </c>
      <c r="P179" s="22">
        <f t="shared" si="23"/>
        <v>4.924587138652778</v>
      </c>
      <c r="Q179" s="5">
        <f t="shared" si="28"/>
        <v>1.3440254521202144</v>
      </c>
    </row>
    <row r="180" spans="1:17" x14ac:dyDescent="0.15">
      <c r="A180" t="s">
        <v>265</v>
      </c>
      <c r="B180" s="49">
        <v>1177.29179940981</v>
      </c>
      <c r="C180">
        <f t="shared" si="21"/>
        <v>1.1772917994098101E-3</v>
      </c>
      <c r="D180">
        <v>308.14999999999998</v>
      </c>
      <c r="E180">
        <f t="shared" si="24"/>
        <v>2.6462895903596996E-2</v>
      </c>
      <c r="F180" s="1">
        <v>2</v>
      </c>
      <c r="G180">
        <f t="shared" si="22"/>
        <v>0.01</v>
      </c>
      <c r="H180" s="19">
        <f t="shared" si="25"/>
        <v>4.9161123285617822E-7</v>
      </c>
      <c r="I180" s="19">
        <f t="shared" si="26"/>
        <v>5.6021457189118354E-11</v>
      </c>
      <c r="J180" s="4">
        <f>(Volumes!B176+Volumes!C176)/1000*B180*(10^-6)/($J$2*D180)</f>
        <v>1.028950189095124E-6</v>
      </c>
      <c r="K180" s="24">
        <f>(Volumes!B176/1000)*C180*E180*((Volumes!D176+Volumes!C176)/Volumes!C176/1000)</f>
        <v>2.0562003221720533E-10</v>
      </c>
      <c r="L180" s="19">
        <f>J180*(H180/1000*Volumes!B176)/(G180/1000*Volumes!B176)</f>
        <v>5.0584347100865166E-11</v>
      </c>
      <c r="M180" s="19">
        <f>L180*(I180/1000*Volumes!B176)/(G180/1000*Volumes!B176)</f>
        <v>2.833808835550621E-19</v>
      </c>
      <c r="N180" s="20">
        <f t="shared" si="27"/>
        <v>2.5620437960145138E-10</v>
      </c>
      <c r="O180" s="20">
        <f>(N180+J180)*(1000/Volumes!D176)</f>
        <v>2.0584127869494506E-4</v>
      </c>
      <c r="P180" s="22">
        <f t="shared" si="23"/>
        <v>9.0588688340858372</v>
      </c>
      <c r="Q180" s="5">
        <f t="shared" si="28"/>
        <v>2.4723595984049851</v>
      </c>
    </row>
    <row r="181" spans="1:17" x14ac:dyDescent="0.15">
      <c r="A181" t="s">
        <v>266</v>
      </c>
      <c r="B181" s="49">
        <v>1316.38222381893</v>
      </c>
      <c r="C181">
        <f t="shared" si="21"/>
        <v>1.31638222381893E-3</v>
      </c>
      <c r="D181">
        <v>308.14999999999998</v>
      </c>
      <c r="E181">
        <f t="shared" si="24"/>
        <v>2.6462895903596996E-2</v>
      </c>
      <c r="F181" s="1">
        <v>2</v>
      </c>
      <c r="G181">
        <f t="shared" si="22"/>
        <v>0.01</v>
      </c>
      <c r="H181" s="19">
        <f t="shared" si="25"/>
        <v>4.9161123285617822E-7</v>
      </c>
      <c r="I181" s="19">
        <f t="shared" si="26"/>
        <v>5.6021457189118354E-11</v>
      </c>
      <c r="J181" s="4">
        <f>(Volumes!B177+Volumes!C177)/1000*B181*(10^-6)/($J$2*D181)</f>
        <v>1.150514884074594E-6</v>
      </c>
      <c r="K181" s="24">
        <f>(Volumes!B177/1000)*C181*E181*((Volumes!D177+Volumes!C177)/Volumes!C177/1000)</f>
        <v>2.2991288600455472E-10</v>
      </c>
      <c r="L181" s="19">
        <f>J181*(H181/1000*Volumes!B177)/(G181/1000*Volumes!B177)</f>
        <v>5.6560604057929419E-11</v>
      </c>
      <c r="M181" s="19">
        <f>L181*(I181/1000*Volumes!B177)/(G181/1000*Volumes!B177)</f>
        <v>3.1686074588219665E-19</v>
      </c>
      <c r="N181" s="20">
        <f t="shared" si="27"/>
        <v>2.8647349037934491E-10</v>
      </c>
      <c r="O181" s="20">
        <f>(N181+J181)*(1000/Volumes!D177)</f>
        <v>2.3016027151299466E-4</v>
      </c>
      <c r="P181" s="22">
        <f t="shared" si="23"/>
        <v>10.129123389015383</v>
      </c>
      <c r="Q181" s="5">
        <f t="shared" si="28"/>
        <v>2.7644550211425791</v>
      </c>
    </row>
    <row r="182" spans="1:17" x14ac:dyDescent="0.15">
      <c r="A182" t="s">
        <v>267</v>
      </c>
      <c r="B182" s="49">
        <v>1311.30827467069</v>
      </c>
      <c r="C182">
        <f t="shared" si="21"/>
        <v>1.31130827467069E-3</v>
      </c>
      <c r="D182">
        <v>308.14999999999998</v>
      </c>
      <c r="E182">
        <f t="shared" si="24"/>
        <v>2.6462895903596996E-2</v>
      </c>
      <c r="F182" s="1">
        <v>2</v>
      </c>
      <c r="G182">
        <f t="shared" si="22"/>
        <v>0.01</v>
      </c>
      <c r="H182" s="19">
        <f t="shared" si="25"/>
        <v>4.9161123285617822E-7</v>
      </c>
      <c r="I182" s="19">
        <f t="shared" si="26"/>
        <v>5.6021457189118354E-11</v>
      </c>
      <c r="J182" s="4">
        <f>(Volumes!B178+Volumes!C178)/1000*B182*(10^-6)/($J$2*D182)</f>
        <v>1.1460802647744699E-6</v>
      </c>
      <c r="K182" s="24">
        <f>(Volumes!B178/1000)*C182*E182*((Volumes!D178+Volumes!C178)/Volumes!C178/1000)</f>
        <v>2.2902669484289661E-10</v>
      </c>
      <c r="L182" s="19">
        <f>J182*(H182/1000*Volumes!B178)/(G182/1000*Volumes!B178)</f>
        <v>5.6342593191791234E-11</v>
      </c>
      <c r="M182" s="19">
        <f>L182*(I182/1000*Volumes!B178)/(G182/1000*Volumes!B178)</f>
        <v>3.1563941724178438E-19</v>
      </c>
      <c r="N182" s="20">
        <f t="shared" si="27"/>
        <v>2.8536928835032724E-10</v>
      </c>
      <c r="O182" s="20">
        <f>(N182+J182)*(1000/Volumes!D178)</f>
        <v>2.2927312681256403E-4</v>
      </c>
      <c r="P182" s="22">
        <f t="shared" si="23"/>
        <v>10.090081037894132</v>
      </c>
      <c r="Q182" s="5">
        <f t="shared" si="28"/>
        <v>2.7537995261457069</v>
      </c>
    </row>
    <row r="183" spans="1:17" x14ac:dyDescent="0.15">
      <c r="A183" t="s">
        <v>268</v>
      </c>
      <c r="B183" s="49">
        <v>974.79468322676803</v>
      </c>
      <c r="C183">
        <f t="shared" si="21"/>
        <v>9.7479468322676799E-4</v>
      </c>
      <c r="D183">
        <v>308.14999999999998</v>
      </c>
      <c r="E183">
        <f t="shared" si="24"/>
        <v>2.6462895903596996E-2</v>
      </c>
      <c r="F183" s="1">
        <v>2</v>
      </c>
      <c r="G183">
        <f t="shared" si="22"/>
        <v>0.01</v>
      </c>
      <c r="H183" s="19">
        <f t="shared" si="25"/>
        <v>4.9161123285617822E-7</v>
      </c>
      <c r="I183" s="19">
        <f t="shared" si="26"/>
        <v>5.6021457189118354E-11</v>
      </c>
      <c r="J183" s="4">
        <f>(Volumes!B179+Volumes!C179)/1000*B183*(10^-6)/($J$2*D183)</f>
        <v>8.5196819865553076E-7</v>
      </c>
      <c r="K183" s="24">
        <f>(Volumes!B179/1000)*C183*E183*((Volumes!D179+Volumes!C179)/Volumes!C179/1000)</f>
        <v>1.7025287551542448E-10</v>
      </c>
      <c r="L183" s="19">
        <f>J183*(H183/1000*Volumes!B179)/(G183/1000*Volumes!B179)</f>
        <v>4.1883713649530289E-11</v>
      </c>
      <c r="M183" s="19">
        <f>L183*(I183/1000*Volumes!B179)/(G183/1000*Volumes!B179)</f>
        <v>2.3463866711384528E-19</v>
      </c>
      <c r="N183" s="20">
        <f t="shared" si="27"/>
        <v>2.1213658939959345E-10</v>
      </c>
      <c r="O183" s="20">
        <f>(N183+J183)*(1000/Volumes!D179)</f>
        <v>1.7043606704898607E-4</v>
      </c>
      <c r="P183" s="22">
        <f t="shared" si="23"/>
        <v>7.5007208747588274</v>
      </c>
      <c r="Q183" s="5">
        <f t="shared" si="28"/>
        <v>2.0471076013253713</v>
      </c>
    </row>
    <row r="184" spans="1:17" x14ac:dyDescent="0.15">
      <c r="A184" t="s">
        <v>269</v>
      </c>
      <c r="B184" s="49">
        <v>833</v>
      </c>
      <c r="C184">
        <f t="shared" si="21"/>
        <v>8.3299999999999997E-4</v>
      </c>
      <c r="D184">
        <v>308.14999999999998</v>
      </c>
      <c r="E184">
        <f t="shared" si="24"/>
        <v>2.6462895903596996E-2</v>
      </c>
      <c r="F184" s="1">
        <v>2</v>
      </c>
      <c r="G184">
        <f t="shared" si="22"/>
        <v>0.01</v>
      </c>
      <c r="H184" s="19">
        <f t="shared" si="25"/>
        <v>4.9161123285617822E-7</v>
      </c>
      <c r="I184" s="19">
        <f t="shared" si="26"/>
        <v>5.6021457189118354E-11</v>
      </c>
      <c r="J184" s="4">
        <f>(Volumes!B180+Volumes!C180)/1000*B184*(10^-6)/($J$2*D184)</f>
        <v>7.2803998800120761E-7</v>
      </c>
      <c r="K184" s="24">
        <f>(Volumes!B180/1000)*C184*E184*((Volumes!D180+Volumes!C180)/Volumes!C180/1000)</f>
        <v>1.4548770909879558E-10</v>
      </c>
      <c r="L184" s="19">
        <f>J184*(H184/1000*Volumes!B180)/(G184/1000*Volumes!B180)</f>
        <v>3.579126360698709E-11</v>
      </c>
      <c r="M184" s="19">
        <f>L184*(I184/1000*Volumes!B180)/(G184/1000*Volumes!B180)</f>
        <v>2.0050787419032771E-19</v>
      </c>
      <c r="N184" s="20">
        <f t="shared" si="27"/>
        <v>1.8127897290629056E-10</v>
      </c>
      <c r="O184" s="20">
        <f>(N184+J184)*(1000/Volumes!D180)</f>
        <v>1.4564425339482276E-4</v>
      </c>
      <c r="P184" s="22">
        <f t="shared" si="23"/>
        <v>6.4096579476527547</v>
      </c>
      <c r="Q184" s="5">
        <f t="shared" si="28"/>
        <v>1.749333127525216</v>
      </c>
    </row>
    <row r="185" spans="1:17" x14ac:dyDescent="0.15">
      <c r="A185" t="s">
        <v>270</v>
      </c>
      <c r="B185" s="49">
        <v>694</v>
      </c>
      <c r="C185">
        <f t="shared" si="21"/>
        <v>6.9399999999999996E-4</v>
      </c>
      <c r="D185">
        <v>308.14999999999998</v>
      </c>
      <c r="E185">
        <f t="shared" si="24"/>
        <v>2.6462895903596996E-2</v>
      </c>
      <c r="F185" s="1">
        <v>2</v>
      </c>
      <c r="G185">
        <f t="shared" si="22"/>
        <v>0.01</v>
      </c>
      <c r="H185" s="19">
        <f t="shared" si="25"/>
        <v>4.9161123285617822E-7</v>
      </c>
      <c r="I185" s="19">
        <f t="shared" si="26"/>
        <v>5.6021457189118354E-11</v>
      </c>
      <c r="J185" s="4">
        <f>(Volumes!B181+Volumes!C181)/1000*B185*(10^-6)/($J$2*D185)</f>
        <v>6.065543237369004E-7</v>
      </c>
      <c r="K185" s="24">
        <f>(Volumes!B181/1000)*C185*E185*((Volumes!D181+Volumes!C181)/Volumes!C181/1000)</f>
        <v>1.2121064839683569E-10</v>
      </c>
      <c r="L185" s="19">
        <f>J185*(H185/1000*Volumes!B181)/(G185/1000*Volumes!B181)</f>
        <v>2.981889188865431E-11</v>
      </c>
      <c r="M185" s="19">
        <f>L185*(I185/1000*Volumes!B181)/(G185/1000*Volumes!B181)</f>
        <v>1.6704977753671958E-19</v>
      </c>
      <c r="N185" s="20">
        <f t="shared" si="27"/>
        <v>1.5102954045253977E-10</v>
      </c>
      <c r="O185" s="20">
        <f>(N185+J185)*(1000/Volumes!D181)</f>
        <v>1.213410706554706E-4</v>
      </c>
      <c r="P185" s="22">
        <f t="shared" si="23"/>
        <v>5.3400991784766063</v>
      </c>
      <c r="Q185" s="5">
        <f t="shared" si="28"/>
        <v>1.4574275996428574</v>
      </c>
    </row>
    <row r="186" spans="1:17" x14ac:dyDescent="0.15">
      <c r="A186" t="s">
        <v>271</v>
      </c>
      <c r="B186" s="49">
        <v>436.39685573925902</v>
      </c>
      <c r="C186">
        <f t="shared" si="21"/>
        <v>4.3639685573925905E-4</v>
      </c>
      <c r="D186">
        <v>308.14999999999998</v>
      </c>
      <c r="E186">
        <f t="shared" si="24"/>
        <v>2.6462895903596996E-2</v>
      </c>
      <c r="F186" s="1">
        <v>2</v>
      </c>
      <c r="G186">
        <f t="shared" si="22"/>
        <v>0.01</v>
      </c>
      <c r="H186" s="19">
        <f t="shared" si="25"/>
        <v>4.9161123285617822E-7</v>
      </c>
      <c r="I186" s="19">
        <f t="shared" si="26"/>
        <v>5.6021457189118354E-11</v>
      </c>
      <c r="J186" s="4">
        <f>(Volumes!B182+Volumes!C182)/1000*B186*(10^-6)/($J$2*D186)</f>
        <v>3.8140979785855321E-7</v>
      </c>
      <c r="K186" s="24">
        <f>(Volumes!B182/1000)*C186*E186*((Volumes!D182+Volumes!C182)/Volumes!C182/1000)</f>
        <v>7.6218942136161302E-11</v>
      </c>
      <c r="L186" s="19">
        <f>J186*(H186/1000*Volumes!B182)/(G186/1000*Volumes!B182)</f>
        <v>1.8750534094866909E-11</v>
      </c>
      <c r="M186" s="19">
        <f>L186*(I186/1000*Volumes!B182)/(G186/1000*Volumes!B182)</f>
        <v>1.0504322430686907E-19</v>
      </c>
      <c r="N186" s="20">
        <f t="shared" si="27"/>
        <v>9.4969476336071441E-11</v>
      </c>
      <c r="O186" s="20">
        <f>(N186+J186)*(1000/Volumes!D182)</f>
        <v>7.6300953466977854E-5</v>
      </c>
      <c r="P186" s="22">
        <f t="shared" si="23"/>
        <v>3.3579286611282284</v>
      </c>
      <c r="Q186" s="5">
        <f t="shared" si="28"/>
        <v>0.91645075209187088</v>
      </c>
    </row>
    <row r="187" spans="1:17" x14ac:dyDescent="0.15">
      <c r="A187" t="s">
        <v>272</v>
      </c>
      <c r="B187" s="49">
        <v>1034</v>
      </c>
      <c r="C187">
        <f t="shared" si="21"/>
        <v>1.034E-3</v>
      </c>
      <c r="D187">
        <v>308.14999999999998</v>
      </c>
      <c r="E187">
        <f t="shared" si="24"/>
        <v>2.6462895903596996E-2</v>
      </c>
      <c r="F187" s="1">
        <v>2</v>
      </c>
      <c r="G187">
        <f t="shared" si="22"/>
        <v>0.01</v>
      </c>
      <c r="H187" s="19">
        <f t="shared" si="25"/>
        <v>4.9161123285617822E-7</v>
      </c>
      <c r="I187" s="19">
        <f t="shared" si="26"/>
        <v>5.6021457189118354E-11</v>
      </c>
      <c r="J187" s="4">
        <f>(Volumes!B183+Volumes!C183)/1000*B187*(10^-6)/($J$2*D187)</f>
        <v>9.0371350251290352E-7</v>
      </c>
      <c r="K187" s="24">
        <f>(Volumes!B183/1000)*C187*E187*((Volumes!D183+Volumes!C183)/Volumes!C183/1000)</f>
        <v>1.8059338680450733E-10</v>
      </c>
      <c r="L187" s="19">
        <f>J187*(H187/1000*Volumes!B183)/(G187/1000*Volumes!B183)</f>
        <v>4.442757091191434E-11</v>
      </c>
      <c r="M187" s="19">
        <f>L187*(I187/1000*Volumes!B183)/(G187/1000*Volumes!B183)</f>
        <v>2.4888972618583293E-19</v>
      </c>
      <c r="N187" s="20">
        <f t="shared" si="27"/>
        <v>2.2502095796531139E-10</v>
      </c>
      <c r="O187" s="20">
        <f>(N187+J187)*(1000/Volumes!D183)</f>
        <v>1.8078770469417377E-4</v>
      </c>
      <c r="P187" s="22">
        <f t="shared" si="23"/>
        <v>7.9562860958858925</v>
      </c>
      <c r="Q187" s="5">
        <f t="shared" si="28"/>
        <v>2.1714411210817208</v>
      </c>
    </row>
    <row r="188" spans="1:17" x14ac:dyDescent="0.15">
      <c r="A188" t="s">
        <v>273</v>
      </c>
      <c r="B188" s="49">
        <v>391</v>
      </c>
      <c r="C188">
        <f t="shared" si="21"/>
        <v>3.9100000000000002E-4</v>
      </c>
      <c r="D188">
        <v>308.14999999999998</v>
      </c>
      <c r="E188">
        <f t="shared" si="24"/>
        <v>2.6462895903596996E-2</v>
      </c>
      <c r="F188" s="1">
        <v>2</v>
      </c>
      <c r="G188">
        <f t="shared" si="22"/>
        <v>0.01</v>
      </c>
      <c r="H188" s="19">
        <f t="shared" si="25"/>
        <v>4.9161123285617822E-7</v>
      </c>
      <c r="I188" s="19">
        <f t="shared" si="26"/>
        <v>5.6021457189118354E-11</v>
      </c>
      <c r="J188" s="4">
        <f>(Volumes!B184+Volumes!C184)/1000*B188*(10^-6)/($J$2*D188)</f>
        <v>3.4173305559240351E-7</v>
      </c>
      <c r="K188" s="24">
        <f>(Volumes!B184/1000)*C188*E188*((Volumes!D184+Volumes!C184)/Volumes!C184/1000)</f>
        <v>6.8290149168822412E-11</v>
      </c>
      <c r="L188" s="19">
        <f>J188*(H188/1000*Volumes!B184)/(G188/1000*Volumes!B184)</f>
        <v>1.679998087674904E-11</v>
      </c>
      <c r="M188" s="19">
        <f>L188*(I188/1000*Volumes!B184)/(G188/1000*Volumes!B184)</f>
        <v>9.4115940946480334E-20</v>
      </c>
      <c r="N188" s="20">
        <f t="shared" si="27"/>
        <v>8.5090130139687384E-11</v>
      </c>
      <c r="O188" s="20">
        <f>(N188+J188)*(1000/Volumes!D184)</f>
        <v>6.8363629144508649E-5</v>
      </c>
      <c r="P188" s="22">
        <f t="shared" si="23"/>
        <v>3.0086149550206813</v>
      </c>
      <c r="Q188" s="5">
        <f t="shared" si="28"/>
        <v>0.82111554965469336</v>
      </c>
    </row>
    <row r="189" spans="1:17" x14ac:dyDescent="0.15">
      <c r="A189" t="s">
        <v>274</v>
      </c>
      <c r="B189" s="49">
        <v>609</v>
      </c>
      <c r="C189">
        <f t="shared" si="21"/>
        <v>6.0899999999999995E-4</v>
      </c>
      <c r="D189">
        <v>308.14999999999998</v>
      </c>
      <c r="E189">
        <f t="shared" si="24"/>
        <v>2.6462895903596996E-2</v>
      </c>
      <c r="F189" s="1">
        <v>2</v>
      </c>
      <c r="G189">
        <f t="shared" si="22"/>
        <v>0.01</v>
      </c>
      <c r="H189" s="19">
        <f t="shared" si="25"/>
        <v>4.9161123285617822E-7</v>
      </c>
      <c r="I189" s="19">
        <f t="shared" si="26"/>
        <v>5.6021457189118354E-11</v>
      </c>
      <c r="J189" s="4">
        <f>(Volumes!B185+Volumes!C185)/1000*B189*(10^-6)/($J$2*D189)</f>
        <v>5.3226452904289972E-7</v>
      </c>
      <c r="K189" s="24">
        <f>(Volumes!B185/1000)*C189*E189*((Volumes!D185+Volumes!C185)/Volumes!C185/1000)</f>
        <v>1.0636496379491776E-10</v>
      </c>
      <c r="L189" s="19">
        <f>J189*(H189/1000*Volumes!B185)/(G189/1000*Volumes!B185)</f>
        <v>2.6166722132839306E-11</v>
      </c>
      <c r="M189" s="19">
        <f>L189*(I189/1000*Volumes!B185)/(G189/1000*Volumes!B185)</f>
        <v>1.4658979037444128E-19</v>
      </c>
      <c r="N189" s="20">
        <f t="shared" si="27"/>
        <v>1.3253168607434685E-10</v>
      </c>
      <c r="O189" s="20">
        <f>(N189+J189)*(1000/Volumes!D185)</f>
        <v>1.0647941214579481E-4</v>
      </c>
      <c r="P189" s="22">
        <f t="shared" si="23"/>
        <v>4.6860524491242845</v>
      </c>
      <c r="Q189" s="5">
        <f t="shared" si="28"/>
        <v>1.2789242192831416</v>
      </c>
    </row>
    <row r="190" spans="1:17" x14ac:dyDescent="0.15">
      <c r="A190" t="s">
        <v>275</v>
      </c>
      <c r="B190" s="49">
        <v>929.87283416861396</v>
      </c>
      <c r="C190">
        <f t="shared" si="21"/>
        <v>9.2987283416861395E-4</v>
      </c>
      <c r="D190">
        <v>308.14999999999998</v>
      </c>
      <c r="E190">
        <f t="shared" si="24"/>
        <v>2.6462895903596996E-2</v>
      </c>
      <c r="F190" s="1">
        <v>2</v>
      </c>
      <c r="G190">
        <f t="shared" si="22"/>
        <v>0.01</v>
      </c>
      <c r="H190" s="19">
        <f t="shared" si="25"/>
        <v>4.9161123285617822E-7</v>
      </c>
      <c r="I190" s="19">
        <f t="shared" si="26"/>
        <v>5.6021457189118354E-11</v>
      </c>
      <c r="J190" s="4">
        <f>(Volumes!B186+Volumes!C186)/1000*B190*(10^-6)/($J$2*D190)</f>
        <v>8.1270661108135234E-7</v>
      </c>
      <c r="K190" s="24">
        <f>(Volumes!B186/1000)*C190*E190*((Volumes!D186+Volumes!C186)/Volumes!C186/1000)</f>
        <v>1.6240704489363251E-10</v>
      </c>
      <c r="L190" s="19">
        <f>J190*(H190/1000*Volumes!B186)/(G190/1000*Volumes!B186)</f>
        <v>3.9953569902407022E-11</v>
      </c>
      <c r="M190" s="19">
        <f>L190*(I190/1000*Volumes!B186)/(G190/1000*Volumes!B186)</f>
        <v>2.2382572058401424E-19</v>
      </c>
      <c r="N190" s="20">
        <f t="shared" si="27"/>
        <v>2.0236061501986525E-10</v>
      </c>
      <c r="O190" s="20">
        <f>(N190+J190)*(1000/Volumes!D186)</f>
        <v>1.6258179433927445E-4</v>
      </c>
      <c r="P190" s="22">
        <f t="shared" si="23"/>
        <v>7.1550621870771289</v>
      </c>
      <c r="Q190" s="5">
        <f t="shared" si="28"/>
        <v>1.9527699318090253</v>
      </c>
    </row>
    <row r="191" spans="1:17" x14ac:dyDescent="0.15">
      <c r="A191" t="s">
        <v>276</v>
      </c>
      <c r="B191" s="49">
        <v>574.95706627075401</v>
      </c>
      <c r="C191">
        <f t="shared" si="21"/>
        <v>5.7495706627075404E-4</v>
      </c>
      <c r="D191">
        <v>308.14999999999998</v>
      </c>
      <c r="E191">
        <f t="shared" si="24"/>
        <v>2.6462895903596996E-2</v>
      </c>
      <c r="F191" s="1">
        <v>2</v>
      </c>
      <c r="G191">
        <f t="shared" si="22"/>
        <v>0.01</v>
      </c>
      <c r="H191" s="19">
        <f t="shared" si="25"/>
        <v>4.9161123285617822E-7</v>
      </c>
      <c r="I191" s="19">
        <f t="shared" si="26"/>
        <v>5.6021457189118354E-11</v>
      </c>
      <c r="J191" s="4">
        <f>(Volumes!B187+Volumes!C187)/1000*B191*(10^-6)/($J$2*D191)</f>
        <v>5.0251108718963897E-7</v>
      </c>
      <c r="K191" s="24">
        <f>(Volumes!B187/1000)*C191*E191*((Volumes!D187+Volumes!C187)/Volumes!C187/1000)</f>
        <v>1.0041919135881921E-10</v>
      </c>
      <c r="L191" s="19">
        <f>J191*(H191/1000*Volumes!B187)/(G191/1000*Volumes!B187)</f>
        <v>2.4704009509719692E-11</v>
      </c>
      <c r="M191" s="19">
        <f>L191*(I191/1000*Volumes!B187)/(G191/1000*Volumes!B187)</f>
        <v>1.3839546111483345E-19</v>
      </c>
      <c r="N191" s="20">
        <f t="shared" si="27"/>
        <v>1.2512320100693437E-10</v>
      </c>
      <c r="O191" s="20">
        <f>(N191+J191)*(1000/Volumes!D187)</f>
        <v>1.0052724207812918E-4</v>
      </c>
      <c r="P191" s="22">
        <f t="shared" si="23"/>
        <v>4.4241033966163874</v>
      </c>
      <c r="Q191" s="5">
        <f t="shared" si="28"/>
        <v>1.2074327046004096</v>
      </c>
    </row>
    <row r="192" spans="1:17" x14ac:dyDescent="0.15">
      <c r="A192" t="s">
        <v>277</v>
      </c>
      <c r="B192" s="49">
        <v>563</v>
      </c>
      <c r="C192">
        <f t="shared" si="21"/>
        <v>5.6300000000000002E-4</v>
      </c>
      <c r="D192">
        <v>308.14999999999998</v>
      </c>
      <c r="E192">
        <f t="shared" si="24"/>
        <v>2.6462895903596996E-2</v>
      </c>
      <c r="F192" s="1">
        <v>2</v>
      </c>
      <c r="G192">
        <f t="shared" si="22"/>
        <v>0.01</v>
      </c>
      <c r="H192" s="19">
        <f t="shared" si="25"/>
        <v>4.9161123285617822E-7</v>
      </c>
      <c r="I192" s="19">
        <f t="shared" si="26"/>
        <v>5.6021457189118354E-11</v>
      </c>
      <c r="J192" s="4">
        <f>(Volumes!B188+Volumes!C188)/1000*B192*(10^-6)/($J$2*D192)</f>
        <v>4.9206064014967577E-7</v>
      </c>
      <c r="K192" s="24">
        <f>(Volumes!B188/1000)*C192*E192*((Volumes!D188+Volumes!C188)/Volumes!C188/1000)</f>
        <v>9.8330828598585733E-11</v>
      </c>
      <c r="L192" s="19">
        <f>J192*(H192/1000*Volumes!B188)/(G192/1000*Volumes!B188)</f>
        <v>2.419025379439824E-11</v>
      </c>
      <c r="M192" s="19">
        <f>L192*(I192/1000*Volumes!B188)/(G192/1000*Volumes!B188)</f>
        <v>1.355173267336789E-19</v>
      </c>
      <c r="N192" s="20">
        <f t="shared" si="27"/>
        <v>1.225210825285013E-10</v>
      </c>
      <c r="O192" s="20">
        <f>(N192+J192)*(1000/Volumes!D188)</f>
        <v>9.8436632246440861E-5</v>
      </c>
      <c r="P192" s="22">
        <f t="shared" si="23"/>
        <v>4.3320977485336165</v>
      </c>
      <c r="Q192" s="5">
        <f t="shared" si="28"/>
        <v>1.1823223899120012</v>
      </c>
    </row>
    <row r="193" spans="1:17" x14ac:dyDescent="0.15">
      <c r="A193" t="s">
        <v>278</v>
      </c>
      <c r="B193" s="49">
        <v>870.29389259797404</v>
      </c>
      <c r="C193">
        <f t="shared" si="21"/>
        <v>8.7029389259797401E-4</v>
      </c>
      <c r="D193">
        <v>308.14999999999998</v>
      </c>
      <c r="E193">
        <f t="shared" si="24"/>
        <v>2.6462895903596996E-2</v>
      </c>
      <c r="F193" s="1">
        <v>2</v>
      </c>
      <c r="G193">
        <f t="shared" si="22"/>
        <v>0.01</v>
      </c>
      <c r="H193" s="19">
        <f t="shared" si="25"/>
        <v>4.9161123285617822E-7</v>
      </c>
      <c r="I193" s="19">
        <f t="shared" si="26"/>
        <v>5.6021457189118354E-11</v>
      </c>
      <c r="J193" s="4">
        <f>(Volumes!B189+Volumes!C189)/1000*B193*(10^-6)/($J$2*D193)</f>
        <v>7.6063476005348522E-7</v>
      </c>
      <c r="K193" s="24">
        <f>(Volumes!B189/1000)*C193*E193*((Volumes!D189+Volumes!C189)/Volumes!C189/1000)</f>
        <v>1.5200127812335229E-10</v>
      </c>
      <c r="L193" s="19">
        <f>J193*(H193/1000*Volumes!B189)/(G193/1000*Volumes!B189)</f>
        <v>3.7393659214315723E-11</v>
      </c>
      <c r="M193" s="19">
        <f>L193*(I193/1000*Volumes!B189)/(G193/1000*Volumes!B189)</f>
        <v>2.0948472788192692E-19</v>
      </c>
      <c r="N193" s="20">
        <f t="shared" si="27"/>
        <v>1.8939493754715273E-10</v>
      </c>
      <c r="O193" s="20">
        <f>(N193+J193)*(1000/Volumes!D189)</f>
        <v>1.5216483099820649E-4</v>
      </c>
      <c r="P193" s="22">
        <f t="shared" si="23"/>
        <v>6.6966220474000693</v>
      </c>
      <c r="Q193" s="5">
        <f t="shared" si="28"/>
        <v>1.827651785119458</v>
      </c>
    </row>
    <row r="194" spans="1:17" x14ac:dyDescent="0.15">
      <c r="A194" t="s">
        <v>279</v>
      </c>
      <c r="B194" s="49">
        <v>2247</v>
      </c>
      <c r="C194">
        <f t="shared" si="21"/>
        <v>2.2469999999999999E-3</v>
      </c>
      <c r="D194">
        <v>308.14999999999998</v>
      </c>
      <c r="E194">
        <f t="shared" si="24"/>
        <v>2.6462895903596996E-2</v>
      </c>
      <c r="F194" s="1">
        <v>2</v>
      </c>
      <c r="G194">
        <f t="shared" si="22"/>
        <v>0.01</v>
      </c>
      <c r="H194" s="19">
        <f t="shared" si="25"/>
        <v>4.9161123285617822E-7</v>
      </c>
      <c r="I194" s="19">
        <f t="shared" si="26"/>
        <v>5.6021457189118354E-11</v>
      </c>
      <c r="J194" s="4">
        <f>(Volumes!B190+Volumes!C190)/1000*B194*(10^-6)/($J$2*D194)</f>
        <v>1.9638725726755261E-6</v>
      </c>
      <c r="K194" s="24">
        <f>(Volumes!B190/1000)*C194*E194*((Volumes!D190+Volumes!C190)/Volumes!C190/1000)</f>
        <v>3.9245003882952418E-10</v>
      </c>
      <c r="L194" s="19">
        <f>J194*(H194/1000*Volumes!B190)/(G194/1000*Volumes!B190)</f>
        <v>9.6546181662544998E-11</v>
      </c>
      <c r="M194" s="19">
        <f>L194*(I194/1000*Volumes!B190)/(G194/1000*Volumes!B190)</f>
        <v>5.4086577827811083E-19</v>
      </c>
      <c r="N194" s="20">
        <f t="shared" si="27"/>
        <v>4.8899622103293495E-10</v>
      </c>
      <c r="O194" s="20">
        <f>(N194+J194)*(1000/Volumes!D190)</f>
        <v>3.9287231377931183E-4</v>
      </c>
      <c r="P194" s="22">
        <f t="shared" si="23"/>
        <v>17.289917657113733</v>
      </c>
      <c r="Q194" s="5">
        <f t="shared" si="28"/>
        <v>4.7187893608033136</v>
      </c>
    </row>
    <row r="195" spans="1:17" x14ac:dyDescent="0.15">
      <c r="A195" t="s">
        <v>280</v>
      </c>
      <c r="B195" s="49">
        <v>854</v>
      </c>
      <c r="C195">
        <f t="shared" si="21"/>
        <v>8.5400000000000005E-4</v>
      </c>
      <c r="D195">
        <v>308.14999999999998</v>
      </c>
      <c r="E195">
        <f t="shared" si="24"/>
        <v>2.6462895903596996E-2</v>
      </c>
      <c r="F195" s="1">
        <v>2</v>
      </c>
      <c r="G195">
        <f t="shared" si="22"/>
        <v>0.01</v>
      </c>
      <c r="H195" s="19">
        <f t="shared" si="25"/>
        <v>4.9161123285617822E-7</v>
      </c>
      <c r="I195" s="19">
        <f t="shared" si="26"/>
        <v>5.6021457189118354E-11</v>
      </c>
      <c r="J195" s="4">
        <f>(Volumes!B191+Volumes!C191)/1000*B195*(10^-6)/($J$2*D195)</f>
        <v>7.4639393727854889E-7</v>
      </c>
      <c r="K195" s="24">
        <f>(Volumes!B191/1000)*C195*E195*((Volumes!D191+Volumes!C191)/Volumes!C191/1000)</f>
        <v>1.4915546647103411E-10</v>
      </c>
      <c r="L195" s="19">
        <f>J195*(H195/1000*Volumes!B191)/(G195/1000*Volumes!B191)</f>
        <v>3.6693564370188444E-11</v>
      </c>
      <c r="M195" s="19">
        <f>L195*(I195/1000*Volumes!B191)/(G195/1000*Volumes!B191)</f>
        <v>2.0556269454806705E-19</v>
      </c>
      <c r="N195" s="20">
        <f t="shared" si="27"/>
        <v>1.8584903104678526E-10</v>
      </c>
      <c r="O195" s="20">
        <f>(N195+J195)*(1000/Volumes!D191)</f>
        <v>1.4931595726191914E-4</v>
      </c>
      <c r="P195" s="22">
        <f t="shared" si="23"/>
        <v>6.5712459631397993</v>
      </c>
      <c r="Q195" s="5">
        <f t="shared" si="28"/>
        <v>1.7934339626729106</v>
      </c>
    </row>
    <row r="196" spans="1:17" x14ac:dyDescent="0.15">
      <c r="A196" t="s">
        <v>281</v>
      </c>
      <c r="B196" s="49">
        <v>916.33759318936598</v>
      </c>
      <c r="C196">
        <f t="shared" si="21"/>
        <v>9.1633759318936593E-4</v>
      </c>
      <c r="D196">
        <v>308.14999999999998</v>
      </c>
      <c r="E196">
        <f t="shared" si="24"/>
        <v>2.6462895903596996E-2</v>
      </c>
      <c r="F196" s="1">
        <v>2</v>
      </c>
      <c r="G196">
        <f t="shared" si="22"/>
        <v>0.01</v>
      </c>
      <c r="H196" s="19">
        <f t="shared" si="25"/>
        <v>4.9161123285617822E-7</v>
      </c>
      <c r="I196" s="19">
        <f t="shared" si="26"/>
        <v>5.6021457189118354E-11</v>
      </c>
      <c r="J196" s="4">
        <f>(Volumes!B192+Volumes!C192)/1000*B196*(10^-6)/($J$2*D196)</f>
        <v>8.0087684315803305E-7</v>
      </c>
      <c r="K196" s="24">
        <f>(Volumes!B192/1000)*C196*E196*((Volumes!D192+Volumes!C192)/Volumes!C192/1000)</f>
        <v>1.6004304585141048E-10</v>
      </c>
      <c r="L196" s="19">
        <f>J196*(H196/1000*Volumes!B192)/(G196/1000*Volumes!B192)</f>
        <v>3.9372005223088475E-11</v>
      </c>
      <c r="M196" s="19">
        <f>L196*(I196/1000*Volumes!B192)/(G196/1000*Volumes!B192)</f>
        <v>2.2056771050549953E-19</v>
      </c>
      <c r="N196" s="20">
        <f t="shared" si="27"/>
        <v>1.9941505129506666E-10</v>
      </c>
      <c r="O196" s="20">
        <f>(N196+J196)*(1000/Volumes!D192)</f>
        <v>1.6021525164186561E-4</v>
      </c>
      <c r="P196" s="22">
        <f t="shared" si="23"/>
        <v>7.0509130095068642</v>
      </c>
      <c r="Q196" s="5">
        <f t="shared" si="28"/>
        <v>1.9243453874704479</v>
      </c>
    </row>
    <row r="197" spans="1:17" x14ac:dyDescent="0.15">
      <c r="A197" t="s">
        <v>282</v>
      </c>
      <c r="B197" s="49">
        <v>510</v>
      </c>
      <c r="C197">
        <f t="shared" si="21"/>
        <v>5.1000000000000004E-4</v>
      </c>
      <c r="D197">
        <v>308.14999999999998</v>
      </c>
      <c r="E197">
        <f t="shared" si="24"/>
        <v>2.6462895903596996E-2</v>
      </c>
      <c r="F197" s="1">
        <v>2</v>
      </c>
      <c r="G197">
        <f t="shared" si="22"/>
        <v>0.01</v>
      </c>
      <c r="H197" s="19">
        <f t="shared" si="25"/>
        <v>4.9161123285617822E-7</v>
      </c>
      <c r="I197" s="19">
        <f t="shared" si="26"/>
        <v>5.6021457189118354E-11</v>
      </c>
      <c r="J197" s="4">
        <f>(Volumes!B193+Volumes!C193)/1000*B197*(10^-6)/($J$2*D197)</f>
        <v>4.4573876816400469E-7</v>
      </c>
      <c r="K197" s="24">
        <f>(Volumes!B193/1000)*C197*E197*((Volumes!D193+Volumes!C193)/Volumes!C193/1000)</f>
        <v>8.9074107611507493E-11</v>
      </c>
      <c r="L197" s="19">
        <f>J197*(H197/1000*Volumes!B193)/(G197/1000*Volumes!B193)</f>
        <v>2.1913018534890058E-11</v>
      </c>
      <c r="M197" s="19">
        <f>L197*(I197/1000*Volumes!B193)/(G197/1000*Volumes!B193)</f>
        <v>1.2275992297367004E-19</v>
      </c>
      <c r="N197" s="20">
        <f t="shared" si="27"/>
        <v>1.1098712626915748E-10</v>
      </c>
      <c r="O197" s="20">
        <f>(N197+J197)*(1000/Volumes!D193)</f>
        <v>8.9169951058054765E-5</v>
      </c>
      <c r="P197" s="22">
        <f t="shared" si="23"/>
        <v>3.924280376113932</v>
      </c>
      <c r="Q197" s="5">
        <f t="shared" si="28"/>
        <v>1.0710202821582957</v>
      </c>
    </row>
    <row r="198" spans="1:17" x14ac:dyDescent="0.15">
      <c r="A198" t="s">
        <v>283</v>
      </c>
      <c r="B198" s="49">
        <v>606</v>
      </c>
      <c r="C198">
        <f t="shared" si="21"/>
        <v>6.0599999999999998E-4</v>
      </c>
      <c r="D198">
        <v>308.14999999999998</v>
      </c>
      <c r="E198">
        <f t="shared" si="24"/>
        <v>2.6462895903596996E-2</v>
      </c>
      <c r="F198" s="1">
        <v>2</v>
      </c>
      <c r="G198">
        <f t="shared" si="22"/>
        <v>0.01</v>
      </c>
      <c r="H198" s="19">
        <f t="shared" si="25"/>
        <v>4.9161123285617822E-7</v>
      </c>
      <c r="I198" s="19">
        <f t="shared" si="26"/>
        <v>5.6021457189118354E-11</v>
      </c>
      <c r="J198" s="4">
        <f>(Volumes!B194+Volumes!C194)/1000*B198*(10^-6)/($J$2*D198)</f>
        <v>5.2964253628899378E-7</v>
      </c>
      <c r="K198" s="24">
        <f>(Volumes!B194/1000)*C198*E198*((Volumes!D194+Volumes!C194)/Volumes!C194/1000)</f>
        <v>1.0584099845602655E-10</v>
      </c>
      <c r="L198" s="19">
        <f>J198*(H198/1000*Volumes!B194)/(G198/1000*Volumes!B194)</f>
        <v>2.603782202381054E-11</v>
      </c>
      <c r="M198" s="19">
        <f>L198*(I198/1000*Volumes!B194)/(G198/1000*Volumes!B194)</f>
        <v>1.4586767318047853E-19</v>
      </c>
      <c r="N198" s="20">
        <f t="shared" si="27"/>
        <v>1.3187882062570475E-10</v>
      </c>
      <c r="O198" s="20">
        <f>(N198+J198)*(1000/Volumes!D194)</f>
        <v>1.0595488302192389E-4</v>
      </c>
      <c r="P198" s="22">
        <f t="shared" si="23"/>
        <v>4.6629684469118491</v>
      </c>
      <c r="Q198" s="5">
        <f t="shared" si="28"/>
        <v>1.2726240999763279</v>
      </c>
    </row>
    <row r="199" spans="1:17" x14ac:dyDescent="0.15">
      <c r="A199" t="s">
        <v>284</v>
      </c>
      <c r="B199" s="49">
        <v>1413</v>
      </c>
      <c r="C199">
        <f t="shared" ref="C199:C235" si="29">B199/1000000</f>
        <v>1.413E-3</v>
      </c>
      <c r="D199">
        <v>308.14999999999998</v>
      </c>
      <c r="E199">
        <f t="shared" si="24"/>
        <v>2.6462895903596996E-2</v>
      </c>
      <c r="F199" s="1">
        <v>2</v>
      </c>
      <c r="G199">
        <f t="shared" ref="G199:G235" si="30">10^-F199</f>
        <v>0.01</v>
      </c>
      <c r="H199" s="19">
        <f t="shared" si="25"/>
        <v>4.9161123285617822E-7</v>
      </c>
      <c r="I199" s="19">
        <f t="shared" si="26"/>
        <v>5.6021457189118354E-11</v>
      </c>
      <c r="J199" s="4">
        <f>(Volumes!B195+Volumes!C195)/1000*B199*(10^-6)/($J$2*D199)</f>
        <v>1.2349585870896837E-6</v>
      </c>
      <c r="K199" s="24">
        <f>(Volumes!B195/1000)*C199*E199*((Volumes!D195+Volumes!C195)/Volumes!C195/1000)</f>
        <v>2.4678767461776482E-10</v>
      </c>
      <c r="L199" s="19">
        <f>J199*(H199/1000*Volumes!B195)/(G199/1000*Volumes!B195)</f>
        <v>6.0711951352548343E-11</v>
      </c>
      <c r="M199" s="19">
        <f>L199*(I199/1000*Volumes!B195)/(G199/1000*Volumes!B195)</f>
        <v>3.4011719835646229E-19</v>
      </c>
      <c r="N199" s="20">
        <f t="shared" si="27"/>
        <v>3.0749962631043034E-10</v>
      </c>
      <c r="O199" s="20">
        <f>(N199+J199)*(1000/Volumes!D195)</f>
        <v>2.4705321734319878E-4</v>
      </c>
      <c r="P199" s="22">
        <f t="shared" ref="P199:P235" si="31">O199*44.009*1000</f>
        <v>10.872565042056836</v>
      </c>
      <c r="Q199" s="5">
        <f t="shared" si="28"/>
        <v>2.9673561935091604</v>
      </c>
    </row>
    <row r="200" spans="1:17" x14ac:dyDescent="0.15">
      <c r="A200" t="s">
        <v>285</v>
      </c>
      <c r="B200" s="49">
        <v>786.69644160404005</v>
      </c>
      <c r="C200">
        <f t="shared" si="29"/>
        <v>7.8669644160404004E-4</v>
      </c>
      <c r="D200">
        <v>308.14999999999998</v>
      </c>
      <c r="E200">
        <f t="shared" si="24"/>
        <v>2.6462895903596996E-2</v>
      </c>
      <c r="F200" s="1">
        <v>2</v>
      </c>
      <c r="G200" s="1">
        <f>10^-F200</f>
        <v>0.01</v>
      </c>
      <c r="H200" s="19">
        <f t="shared" si="25"/>
        <v>4.9161123285617822E-7</v>
      </c>
      <c r="I200" s="19">
        <f t="shared" si="26"/>
        <v>5.6021457189118354E-11</v>
      </c>
      <c r="J200" s="4">
        <f>(Volumes!B196+Volumes!C196)/1000*B200*(10^-6)/($J$2*D200)</f>
        <v>6.8757078980311885E-7</v>
      </c>
      <c r="K200" s="24">
        <f>(Volumes!B196/1000)*C200*E200*((Volumes!D196+Volumes!C196)/Volumes!C196/1000)</f>
        <v>1.3740055587652605E-10</v>
      </c>
      <c r="L200" s="19">
        <f>J200*(H200/1000*Volumes!B196)/(G200/1000*Volumes!B196)</f>
        <v>3.3801752365100752E-11</v>
      </c>
      <c r="M200" s="19">
        <f>L200*(I200/1000*Volumes!B196)/(G200/1000*Volumes!B196)</f>
        <v>1.8936234230386718E-19</v>
      </c>
      <c r="N200" s="20">
        <f t="shared" si="27"/>
        <v>1.7120230843098915E-10</v>
      </c>
      <c r="O200" s="20">
        <f>(N200+J200)*(1000/Volumes!D196)</f>
        <v>1.3754839842230996E-4</v>
      </c>
      <c r="P200" s="22">
        <f t="shared" si="31"/>
        <v>6.0533674661674395</v>
      </c>
      <c r="Q200" s="5">
        <f t="shared" si="28"/>
        <v>1.6520938134503651</v>
      </c>
    </row>
    <row r="201" spans="1:17" x14ac:dyDescent="0.15">
      <c r="A201" t="s">
        <v>286</v>
      </c>
      <c r="B201" s="49">
        <v>1041.9948078165301</v>
      </c>
      <c r="C201">
        <f t="shared" si="29"/>
        <v>1.0419948078165301E-3</v>
      </c>
      <c r="D201">
        <v>308.14999999999998</v>
      </c>
      <c r="E201">
        <f t="shared" si="24"/>
        <v>2.6462895903596996E-2</v>
      </c>
      <c r="F201" s="1">
        <v>2</v>
      </c>
      <c r="G201">
        <f t="shared" si="30"/>
        <v>0.01</v>
      </c>
      <c r="H201" s="19">
        <f t="shared" si="25"/>
        <v>4.9161123285617822E-7</v>
      </c>
      <c r="I201" s="19">
        <f t="shared" si="26"/>
        <v>5.6021457189118354E-11</v>
      </c>
      <c r="J201" s="4">
        <f>(Volumes!B197+Volumes!C197)/1000*B201*(10^-6)/($J$2*D201)</f>
        <v>9.1070094523417439E-7</v>
      </c>
      <c r="K201" s="24">
        <f>(Volumes!B197/1000)*C201*E201*((Volumes!D197+Volumes!C197)/Volumes!C197/1000)</f>
        <v>1.8198972086682681E-10</v>
      </c>
      <c r="L201" s="19">
        <f>J201*(H201/1000*Volumes!B197)/(G201/1000*Volumes!B197)</f>
        <v>4.4771081444985935E-11</v>
      </c>
      <c r="M201" s="19">
        <f>L201*(I201/1000*Volumes!B197)/(G201/1000*Volumes!B197)</f>
        <v>2.5081412224808106E-19</v>
      </c>
      <c r="N201" s="20">
        <f t="shared" si="27"/>
        <v>2.2676080256262686E-10</v>
      </c>
      <c r="O201" s="20">
        <f>(N201+J201)*(1000/Volumes!D197)</f>
        <v>1.821855412073474E-4</v>
      </c>
      <c r="P201" s="22">
        <f t="shared" si="31"/>
        <v>8.017803482994152</v>
      </c>
      <c r="Q201" s="5">
        <f t="shared" si="28"/>
        <v>2.1882305354414493</v>
      </c>
    </row>
    <row r="202" spans="1:17" x14ac:dyDescent="0.15">
      <c r="A202" t="s">
        <v>287</v>
      </c>
      <c r="B202" s="49">
        <v>724.71703724088104</v>
      </c>
      <c r="C202">
        <f t="shared" si="29"/>
        <v>7.24717037240881E-4</v>
      </c>
      <c r="D202">
        <v>308.14999999999998</v>
      </c>
      <c r="E202">
        <f t="shared" si="24"/>
        <v>2.6462895903596996E-2</v>
      </c>
      <c r="F202" s="1">
        <v>2</v>
      </c>
      <c r="G202">
        <f t="shared" si="30"/>
        <v>0.01</v>
      </c>
      <c r="H202" s="19">
        <f t="shared" si="25"/>
        <v>4.9161123285617822E-7</v>
      </c>
      <c r="I202" s="19">
        <f t="shared" si="26"/>
        <v>5.6021457189118354E-11</v>
      </c>
      <c r="J202" s="4">
        <f>(Volumes!B198+Volumes!C198)/1000*B202*(10^-6)/($J$2*D202)</f>
        <v>6.334009400925831E-7</v>
      </c>
      <c r="K202" s="24">
        <f>(Volumes!B198/1000)*C202*E202*((Volumes!D198+Volumes!C198)/Volumes!C198/1000)</f>
        <v>1.2657553600605315E-10</v>
      </c>
      <c r="L202" s="19">
        <f>J202*(H202/1000*Volumes!B198)/(G202/1000*Volumes!B198)</f>
        <v>3.1138701705117707E-11</v>
      </c>
      <c r="M202" s="19">
        <f>L202*(I202/1000*Volumes!B198)/(G202/1000*Volumes!B198)</f>
        <v>1.7444354444979781E-19</v>
      </c>
      <c r="N202" s="20">
        <f t="shared" si="27"/>
        <v>1.5771423788561441E-10</v>
      </c>
      <c r="O202" s="20">
        <f>(N202+J202)*(1000/Volumes!D198)</f>
        <v>1.2671173086609375E-4</v>
      </c>
      <c r="P202" s="22">
        <f t="shared" si="31"/>
        <v>5.5764565636859196</v>
      </c>
      <c r="Q202" s="5">
        <f t="shared" si="28"/>
        <v>1.5219345994326519</v>
      </c>
    </row>
    <row r="203" spans="1:17" x14ac:dyDescent="0.15">
      <c r="A203" t="s">
        <v>288</v>
      </c>
      <c r="B203" s="49">
        <v>1177.7006546410501</v>
      </c>
      <c r="C203">
        <f t="shared" si="29"/>
        <v>1.17770065464105E-3</v>
      </c>
      <c r="D203">
        <v>308.14999999999998</v>
      </c>
      <c r="E203">
        <f t="shared" si="24"/>
        <v>2.6462895903596996E-2</v>
      </c>
      <c r="F203" s="1">
        <v>2</v>
      </c>
      <c r="G203">
        <f t="shared" si="30"/>
        <v>0.01</v>
      </c>
      <c r="H203" s="19">
        <f t="shared" si="25"/>
        <v>4.9161123285617822E-7</v>
      </c>
      <c r="I203" s="19">
        <f t="shared" si="26"/>
        <v>5.6021457189118354E-11</v>
      </c>
      <c r="J203" s="4">
        <f>(Volumes!B199+Volumes!C199)/1000*B203*(10^-6)/($J$2*D203)</f>
        <v>1.0293075275796932E-6</v>
      </c>
      <c r="K203" s="24">
        <f>(Volumes!B199/1000)*C203*E203*((Volumes!D199+Volumes!C199)/Volumes!C199/1000)</f>
        <v>2.0569144087380332E-10</v>
      </c>
      <c r="L203" s="19">
        <f>J203*(H203/1000*Volumes!B199)/(G203/1000*Volumes!B199)</f>
        <v>5.0601914262159772E-11</v>
      </c>
      <c r="M203" s="19">
        <f>L203*(I203/1000*Volumes!B199)/(G203/1000*Volumes!B199)</f>
        <v>2.8347929735250211E-19</v>
      </c>
      <c r="N203" s="20">
        <f t="shared" si="27"/>
        <v>2.5629335541944241E-10</v>
      </c>
      <c r="O203" s="20">
        <f>(N203+J203)*(1000/Volumes!D199)</f>
        <v>2.0591276418702252E-4</v>
      </c>
      <c r="P203" s="22">
        <f t="shared" si="31"/>
        <v>9.0620148391066735</v>
      </c>
      <c r="Q203" s="5">
        <f t="shared" si="28"/>
        <v>2.4732182106503271</v>
      </c>
    </row>
    <row r="204" spans="1:17" x14ac:dyDescent="0.15">
      <c r="A204" t="s">
        <v>289</v>
      </c>
      <c r="B204" s="49">
        <v>482</v>
      </c>
      <c r="C204">
        <f t="shared" si="29"/>
        <v>4.8200000000000001E-4</v>
      </c>
      <c r="D204">
        <v>308.14999999999998</v>
      </c>
      <c r="E204">
        <f t="shared" si="24"/>
        <v>2.6462895903596996E-2</v>
      </c>
      <c r="F204" s="1">
        <v>2</v>
      </c>
      <c r="G204">
        <f t="shared" si="30"/>
        <v>0.01</v>
      </c>
      <c r="H204" s="19">
        <f t="shared" si="25"/>
        <v>4.9161123285617822E-7</v>
      </c>
      <c r="I204" s="19">
        <f t="shared" si="26"/>
        <v>5.6021457189118354E-11</v>
      </c>
      <c r="J204" s="4">
        <f>(Volumes!B200+Volumes!C200)/1000*B204*(10^-6)/($J$2*D204)</f>
        <v>4.2126683579421612E-7</v>
      </c>
      <c r="K204" s="24">
        <f>(Volumes!B200/1000)*C204*E204*((Volumes!D200+Volumes!C200)/Volumes!C200/1000)</f>
        <v>8.4183764448522766E-11</v>
      </c>
      <c r="L204" s="19">
        <f>J204*(H204/1000*Volumes!B200)/(G204/1000*Volumes!B200)</f>
        <v>2.0709950850621579E-11</v>
      </c>
      <c r="M204" s="19">
        <f>L204*(I204/1000*Volumes!B200)/(G204/1000*Volumes!B200)</f>
        <v>1.1602016249668421E-19</v>
      </c>
      <c r="N204" s="20">
        <f t="shared" si="27"/>
        <v>1.048937154151645E-10</v>
      </c>
      <c r="O204" s="20">
        <f>(N204+J204)*(1000/Volumes!D200)</f>
        <v>8.4274345901926256E-5</v>
      </c>
      <c r="P204" s="22">
        <f t="shared" si="31"/>
        <v>3.7088296887978727</v>
      </c>
      <c r="Q204" s="5">
        <f t="shared" si="28"/>
        <v>1.0122191686280362</v>
      </c>
    </row>
    <row r="205" spans="1:17" x14ac:dyDescent="0.15">
      <c r="A205" t="s">
        <v>290</v>
      </c>
      <c r="B205" s="49">
        <v>1249</v>
      </c>
      <c r="C205">
        <f t="shared" si="29"/>
        <v>1.2489999999999999E-3</v>
      </c>
      <c r="D205">
        <v>308.14999999999998</v>
      </c>
      <c r="E205">
        <f t="shared" si="24"/>
        <v>2.6462895903596996E-2</v>
      </c>
      <c r="F205" s="1">
        <v>2</v>
      </c>
      <c r="G205">
        <f t="shared" si="30"/>
        <v>0.01</v>
      </c>
      <c r="H205" s="19">
        <f t="shared" si="25"/>
        <v>4.9161123285617822E-7</v>
      </c>
      <c r="I205" s="19">
        <f t="shared" si="26"/>
        <v>5.6021457189118354E-11</v>
      </c>
      <c r="J205" s="4">
        <f>(Volumes!B201+Volumes!C201)/1000*B205*(10^-6)/($J$2*D205)</f>
        <v>1.0916229832094938E-6</v>
      </c>
      <c r="K205" s="24">
        <f>(Volumes!B201/1000)*C205*E205*((Volumes!D201+Volumes!C201)/Volumes!C201/1000)</f>
        <v>2.1814423609171148E-10</v>
      </c>
      <c r="L205" s="19">
        <f>J205*(H205/1000*Volumes!B201)/(G205/1000*Volumes!B201)</f>
        <v>5.3665412058975847E-11</v>
      </c>
      <c r="M205" s="19">
        <f>L205*(I205/1000*Volumes!B201)/(G205/1000*Volumes!B201)</f>
        <v>3.0064145841983114E-19</v>
      </c>
      <c r="N205" s="20">
        <f t="shared" si="27"/>
        <v>2.7180964845132879E-10</v>
      </c>
      <c r="O205" s="20">
        <f>(N205+J205)*(1000/Volumes!D201)</f>
        <v>2.1837895857158902E-4</v>
      </c>
      <c r="P205" s="22">
        <f t="shared" si="31"/>
        <v>9.6106395877770616</v>
      </c>
      <c r="Q205" s="5">
        <f t="shared" si="28"/>
        <v>2.6229496714033558</v>
      </c>
    </row>
    <row r="206" spans="1:17" x14ac:dyDescent="0.15">
      <c r="A206" t="s">
        <v>291</v>
      </c>
      <c r="B206" s="49">
        <v>713</v>
      </c>
      <c r="C206">
        <f t="shared" si="29"/>
        <v>7.1299999999999998E-4</v>
      </c>
      <c r="D206">
        <v>308.14999999999998</v>
      </c>
      <c r="E206">
        <f>EXP(-58.0931+(90.5069*(100/D206))+(22.294*LN(D206/100)))</f>
        <v>2.6462895903596996E-2</v>
      </c>
      <c r="F206" s="1">
        <v>2</v>
      </c>
      <c r="G206">
        <f t="shared" si="30"/>
        <v>0.01</v>
      </c>
      <c r="H206" s="19">
        <f>10^((-3404.71/D206)+14.8435-0.032786*D206)</f>
        <v>4.9161123285617822E-7</v>
      </c>
      <c r="I206" s="19">
        <f>10^((-2902.39/D206)+6.498-0.02379*D206)</f>
        <v>5.6021457189118354E-11</v>
      </c>
      <c r="J206" s="4">
        <f>(Volumes!B202+Volumes!C202)/1000*B206*(10^-6)/($J$2*D206)</f>
        <v>6.2316027784497119E-7</v>
      </c>
      <c r="K206" s="24">
        <f>(Volumes!B202/1000)*C206*E206*((Volumes!D202+Volumes!C202)/Volumes!C202/1000)</f>
        <v>1.2452909554314673E-10</v>
      </c>
      <c r="L206" s="19">
        <f>J206*(H206/1000*Volumes!B202)/(G206/1000*Volumes!B202)</f>
        <v>3.0635259245836489E-11</v>
      </c>
      <c r="M206" s="19">
        <f>L206*(I206/1000*Volumes!B202)/(G206/1000*Volumes!B202)</f>
        <v>1.716231864318171E-19</v>
      </c>
      <c r="N206" s="20">
        <f>SUM(K206:M206)</f>
        <v>1.551643549606064E-10</v>
      </c>
      <c r="O206" s="20">
        <f>(N206+J206)*(1000/Volumes!D202)</f>
        <v>1.2466308843998635E-4</v>
      </c>
      <c r="P206" s="22">
        <f t="shared" si="31"/>
        <v>5.4862978591553597</v>
      </c>
      <c r="Q206" s="5">
        <f>P206/44.009*12.011</f>
        <v>1.4973283552526762</v>
      </c>
    </row>
    <row r="207" spans="1:17" x14ac:dyDescent="0.15">
      <c r="A207" t="s">
        <v>292</v>
      </c>
      <c r="B207" s="49">
        <v>1002.71886411209</v>
      </c>
      <c r="C207">
        <f t="shared" si="29"/>
        <v>1.0027188641120901E-3</v>
      </c>
      <c r="D207">
        <v>308.14999999999998</v>
      </c>
      <c r="E207">
        <f t="shared" ref="E207:E235" si="32">EXP(-58.0931+(90.5069*(100/D207))+(22.294*LN(D207/100)))</f>
        <v>2.6462895903596996E-2</v>
      </c>
      <c r="F207" s="1">
        <v>2</v>
      </c>
      <c r="G207">
        <f t="shared" si="30"/>
        <v>0.01</v>
      </c>
      <c r="H207" s="19">
        <f t="shared" ref="H207:H235" si="33">10^((-3404.71/D207)+14.8435-0.032786*D207)</f>
        <v>4.9161123285617822E-7</v>
      </c>
      <c r="I207" s="19">
        <f t="shared" ref="I207:I235" si="34">10^((-2902.39/D207)+6.498-0.02379*D207)</f>
        <v>5.6021457189118354E-11</v>
      </c>
      <c r="J207" s="4">
        <f>(Volumes!B203+Volumes!C203)/1000*B207*(10^-6)/($J$2*D207)</f>
        <v>8.7637386530222151E-7</v>
      </c>
      <c r="K207" s="24">
        <f>(Volumes!B203/1000)*C207*E207*((Volumes!D203+Volumes!C203)/Volumes!C203/1000)</f>
        <v>1.7512997648237033E-10</v>
      </c>
      <c r="L207" s="19">
        <f>J207*(H207/1000*Volumes!B203)/(G207/1000*Volumes!B203)</f>
        <v>4.3083523636415941E-11</v>
      </c>
      <c r="M207" s="19">
        <f>L207*(I207/1000*Volumes!B203)/(G207/1000*Volumes!B203)</f>
        <v>2.4136017749538443E-19</v>
      </c>
      <c r="N207" s="20">
        <f t="shared" ref="N207:N235" si="35">SUM(K207:M207)</f>
        <v>2.1821350036014647E-10</v>
      </c>
      <c r="O207" s="20">
        <f>(N207+J207)*(1000/Volumes!D203)</f>
        <v>1.7531841576051634E-4</v>
      </c>
      <c r="P207" s="22">
        <f t="shared" si="31"/>
        <v>7.7155881592045636</v>
      </c>
      <c r="Q207" s="5">
        <f t="shared" ref="Q207:Q235" si="36">P207/44.009*12.011</f>
        <v>2.1057494916995618</v>
      </c>
    </row>
    <row r="208" spans="1:17" x14ac:dyDescent="0.15">
      <c r="A208" t="s">
        <v>293</v>
      </c>
      <c r="B208" s="49">
        <v>800</v>
      </c>
      <c r="C208">
        <f t="shared" si="29"/>
        <v>8.0000000000000004E-4</v>
      </c>
      <c r="D208">
        <v>308.14999999999998</v>
      </c>
      <c r="E208">
        <f t="shared" si="32"/>
        <v>2.6462895903596996E-2</v>
      </c>
      <c r="F208" s="1">
        <v>2</v>
      </c>
      <c r="G208">
        <f t="shared" si="30"/>
        <v>0.01</v>
      </c>
      <c r="H208" s="19">
        <f t="shared" si="33"/>
        <v>4.9161123285617822E-7</v>
      </c>
      <c r="I208" s="19">
        <f t="shared" si="34"/>
        <v>5.6021457189118354E-11</v>
      </c>
      <c r="J208" s="4">
        <f>(Volumes!B204+Volumes!C204)/1000*B208*(10^-6)/($J$2*D208)</f>
        <v>6.9919806770824257E-7</v>
      </c>
      <c r="K208" s="24">
        <f>(Volumes!B204/1000)*C208*E208*((Volumes!D204+Volumes!C204)/Volumes!C204/1000)</f>
        <v>1.3972409037099216E-10</v>
      </c>
      <c r="L208" s="19">
        <f>J208*(H208/1000*Volumes!B204)/(G208/1000*Volumes!B204)</f>
        <v>3.4373362407670674E-11</v>
      </c>
      <c r="M208" s="19">
        <f>L208*(I208/1000*Volumes!B204)/(G208/1000*Volumes!B204)</f>
        <v>1.9256458505673729E-19</v>
      </c>
      <c r="N208" s="20">
        <f t="shared" si="35"/>
        <v>1.7409745297122745E-10</v>
      </c>
      <c r="O208" s="20">
        <f>(N208+J208)*(1000/Volumes!D204)</f>
        <v>1.3987443303224278E-4</v>
      </c>
      <c r="P208" s="22">
        <f t="shared" si="31"/>
        <v>6.1557339233159727</v>
      </c>
      <c r="Q208" s="5">
        <f t="shared" si="36"/>
        <v>1.680031815150268</v>
      </c>
    </row>
    <row r="209" spans="1:17" x14ac:dyDescent="0.15">
      <c r="A209" t="s">
        <v>294</v>
      </c>
      <c r="B209" s="49">
        <v>1007</v>
      </c>
      <c r="C209">
        <f t="shared" si="29"/>
        <v>1.0070000000000001E-3</v>
      </c>
      <c r="D209">
        <v>308.14999999999998</v>
      </c>
      <c r="E209">
        <f t="shared" si="32"/>
        <v>2.6462895903596996E-2</v>
      </c>
      <c r="F209" s="1">
        <v>2</v>
      </c>
      <c r="G209">
        <f t="shared" si="30"/>
        <v>0.01</v>
      </c>
      <c r="H209" s="19">
        <f t="shared" si="33"/>
        <v>4.9161123285617822E-7</v>
      </c>
      <c r="I209" s="19">
        <f t="shared" si="34"/>
        <v>5.6021457189118354E-11</v>
      </c>
      <c r="J209" s="4">
        <f>(Volumes!B205+Volumes!C205)/1000*B209*(10^-6)/($J$2*D209)</f>
        <v>8.8011556772775047E-7</v>
      </c>
      <c r="K209" s="24">
        <f>(Volumes!B205/1000)*C209*E209*((Volumes!D205+Volumes!C205)/Volumes!C205/1000)</f>
        <v>1.7587769875448635E-10</v>
      </c>
      <c r="L209" s="19">
        <f>J209*(H209/1000*Volumes!B205)/(G209/1000*Volumes!B205)</f>
        <v>4.3267469930655468E-11</v>
      </c>
      <c r="M209" s="19">
        <f>L209*(I209/1000*Volumes!B205)/(G209/1000*Volumes!B205)</f>
        <v>2.4239067144016812E-19</v>
      </c>
      <c r="N209" s="20">
        <f t="shared" si="35"/>
        <v>2.191451689275325E-10</v>
      </c>
      <c r="O209" s="20">
        <f>(N209+J209)*(1000/Volumes!D205)</f>
        <v>1.7606694257933561E-4</v>
      </c>
      <c r="P209" s="22">
        <f t="shared" si="31"/>
        <v>7.7485300759739806</v>
      </c>
      <c r="Q209" s="5">
        <f t="shared" si="36"/>
        <v>2.1147400473203999</v>
      </c>
    </row>
    <row r="210" spans="1:17" x14ac:dyDescent="0.15">
      <c r="A210" t="s">
        <v>295</v>
      </c>
      <c r="B210" s="49">
        <v>593.99295121579803</v>
      </c>
      <c r="C210">
        <f t="shared" si="29"/>
        <v>5.9399295121579808E-4</v>
      </c>
      <c r="D210">
        <v>308.14999999999998</v>
      </c>
      <c r="E210">
        <f t="shared" si="32"/>
        <v>2.6462895903596996E-2</v>
      </c>
      <c r="F210" s="1">
        <v>2</v>
      </c>
      <c r="G210">
        <f t="shared" si="30"/>
        <v>0.01</v>
      </c>
      <c r="H210" s="19">
        <f t="shared" si="33"/>
        <v>4.9161123285617822E-7</v>
      </c>
      <c r="I210" s="19">
        <f t="shared" si="34"/>
        <v>5.6021457189118354E-11</v>
      </c>
      <c r="J210" s="4">
        <f>(Volumes!B206+Volumes!C206)/1000*B210*(10^-6)/($J$2*D210)</f>
        <v>5.1914840465300297E-7</v>
      </c>
      <c r="K210" s="24">
        <f>(Volumes!B206/1000)*C210*E210*((Volumes!D206+Volumes!C206)/Volumes!C206/1000)</f>
        <v>1.0374390599426062E-10</v>
      </c>
      <c r="L210" s="19">
        <f>J210*(H210/1000*Volumes!B206)/(G210/1000*Volumes!B206)</f>
        <v>2.5521918724678092E-11</v>
      </c>
      <c r="M210" s="19">
        <f>L210*(I210/1000*Volumes!B206)/(G210/1000*Volumes!B206)</f>
        <v>1.4297750772187117E-19</v>
      </c>
      <c r="N210" s="20">
        <f t="shared" si="35"/>
        <v>1.292658248619162E-10</v>
      </c>
      <c r="O210" s="20">
        <f>(N210+J210)*(1000/Volumes!D206)</f>
        <v>1.0385553409557299E-4</v>
      </c>
      <c r="P210" s="22">
        <f t="shared" si="31"/>
        <v>4.570578200012072</v>
      </c>
      <c r="Q210" s="5">
        <f t="shared" si="36"/>
        <v>1.2474088200219271</v>
      </c>
    </row>
    <row r="211" spans="1:17" x14ac:dyDescent="0.15">
      <c r="A211" t="s">
        <v>296</v>
      </c>
      <c r="B211" s="49">
        <v>725.67312189624499</v>
      </c>
      <c r="C211">
        <f t="shared" si="29"/>
        <v>7.2567312189624497E-4</v>
      </c>
      <c r="D211">
        <v>308.14999999999998</v>
      </c>
      <c r="E211">
        <f t="shared" si="32"/>
        <v>2.6462895903596996E-2</v>
      </c>
      <c r="F211" s="1">
        <v>2</v>
      </c>
      <c r="G211">
        <f t="shared" si="30"/>
        <v>0.01</v>
      </c>
      <c r="H211" s="19">
        <f t="shared" si="33"/>
        <v>4.9161123285617822E-7</v>
      </c>
      <c r="I211" s="19">
        <f t="shared" si="34"/>
        <v>5.6021457189118354E-11</v>
      </c>
      <c r="J211" s="4">
        <f>(Volumes!B207+Volumes!C207)/1000*B211*(10^-6)/($J$2*D211)</f>
        <v>6.3423655577207809E-7</v>
      </c>
      <c r="K211" s="24">
        <f>(Volumes!B207/1000)*C211*E211*((Volumes!D207+Volumes!C207)/Volumes!C207/1000)</f>
        <v>1.2674252107953866E-10</v>
      </c>
      <c r="L211" s="19">
        <f>J211*(H211/1000*Volumes!B207)/(G211/1000*Volumes!B207)</f>
        <v>3.1179781510556759E-11</v>
      </c>
      <c r="M211" s="19">
        <f>L211*(I211/1000*Volumes!B207)/(G211/1000*Volumes!B207)</f>
        <v>1.7467367950597193E-19</v>
      </c>
      <c r="N211" s="20">
        <f t="shared" si="35"/>
        <v>1.5792230276476909E-10</v>
      </c>
      <c r="O211" s="20">
        <f>(N211+J211)*(1000/Volumes!D207)</f>
        <v>1.2687889561496858E-4</v>
      </c>
      <c r="P211" s="22">
        <f t="shared" si="31"/>
        <v>5.5838133171191524</v>
      </c>
      <c r="Q211" s="5">
        <f t="shared" si="36"/>
        <v>1.5239424152313876</v>
      </c>
    </row>
    <row r="212" spans="1:17" x14ac:dyDescent="0.15">
      <c r="A212" t="s">
        <v>297</v>
      </c>
      <c r="B212" s="49">
        <v>1566</v>
      </c>
      <c r="C212">
        <f t="shared" si="29"/>
        <v>1.5659999999999999E-3</v>
      </c>
      <c r="D212">
        <v>308.14999999999998</v>
      </c>
      <c r="E212">
        <f t="shared" si="32"/>
        <v>2.6462895903596996E-2</v>
      </c>
      <c r="F212" s="1">
        <v>2</v>
      </c>
      <c r="G212">
        <f t="shared" si="30"/>
        <v>0.01</v>
      </c>
      <c r="H212" s="19">
        <f t="shared" si="33"/>
        <v>4.9161123285617822E-7</v>
      </c>
      <c r="I212" s="19">
        <f t="shared" si="34"/>
        <v>5.6021457189118354E-11</v>
      </c>
      <c r="J212" s="4">
        <f>(Volumes!B208+Volumes!C208)/1000*B212*(10^-6)/($J$2*D212)</f>
        <v>1.3686802175388847E-6</v>
      </c>
      <c r="K212" s="24">
        <f>(Volumes!B208/1000)*C212*E212*((Volumes!D208+Volumes!C208)/Volumes!C208/1000)</f>
        <v>2.7350990690121711E-10</v>
      </c>
      <c r="L212" s="19">
        <f>J212*(H212/1000*Volumes!B208)/(G212/1000*Volumes!B208)</f>
        <v>6.7285856913015342E-11</v>
      </c>
      <c r="M212" s="19">
        <f>L212*(I212/1000*Volumes!B208)/(G212/1000*Volumes!B208)</f>
        <v>3.769451752485632E-19</v>
      </c>
      <c r="N212" s="20">
        <f t="shared" si="35"/>
        <v>3.4079576419117763E-10</v>
      </c>
      <c r="O212" s="20">
        <f>(N212+J212)*(1000/Volumes!D208)</f>
        <v>2.7380420266061517E-4</v>
      </c>
      <c r="P212" s="22">
        <f t="shared" si="31"/>
        <v>12.049849154891012</v>
      </c>
      <c r="Q212" s="5">
        <f t="shared" si="36"/>
        <v>3.2886622781566488</v>
      </c>
    </row>
    <row r="213" spans="1:17" x14ac:dyDescent="0.15">
      <c r="A213" t="s">
        <v>298</v>
      </c>
      <c r="B213" s="49">
        <v>482.94589738059</v>
      </c>
      <c r="C213">
        <f t="shared" si="29"/>
        <v>4.8294589738059001E-4</v>
      </c>
      <c r="D213">
        <v>308.14999999999998</v>
      </c>
      <c r="E213">
        <f t="shared" si="32"/>
        <v>2.6462895903596996E-2</v>
      </c>
      <c r="F213" s="1">
        <v>2</v>
      </c>
      <c r="G213">
        <f t="shared" si="30"/>
        <v>0.01</v>
      </c>
      <c r="H213" s="19">
        <f t="shared" si="33"/>
        <v>4.9161123285617822E-7</v>
      </c>
      <c r="I213" s="19">
        <f t="shared" si="34"/>
        <v>5.6021457189118354E-11</v>
      </c>
      <c r="J213" s="4">
        <f>(Volumes!B209+Volumes!C209)/1000*B213*(10^-6)/($J$2*D213)</f>
        <v>4.2209354782016468E-7</v>
      </c>
      <c r="K213" s="24">
        <f>(Volumes!B209/1000)*C213*E213*((Volumes!D209+Volumes!C209)/Volumes!C209/1000)</f>
        <v>8.4348970262381818E-11</v>
      </c>
      <c r="L213" s="19">
        <f>J213*(H213/1000*Volumes!B209)/(G213/1000*Volumes!B209)</f>
        <v>2.0750592942450937E-11</v>
      </c>
      <c r="M213" s="19">
        <f>L213*(I213/1000*Volumes!B209)/(G213/1000*Volumes!B209)</f>
        <v>1.1624784541743367E-19</v>
      </c>
      <c r="N213" s="20">
        <f t="shared" si="35"/>
        <v>1.050995633210806E-10</v>
      </c>
      <c r="O213" s="20">
        <f>(N213+J213)*(1000/Volumes!D209)</f>
        <v>8.4439729476697156E-5</v>
      </c>
      <c r="P213" s="22">
        <f t="shared" si="31"/>
        <v>3.7161080545399652</v>
      </c>
      <c r="Q213" s="5">
        <f t="shared" si="36"/>
        <v>1.0142055907446095</v>
      </c>
    </row>
    <row r="214" spans="1:17" x14ac:dyDescent="0.15">
      <c r="A214" t="s">
        <v>299</v>
      </c>
      <c r="B214" s="49">
        <v>659.99238212077205</v>
      </c>
      <c r="C214">
        <f t="shared" si="29"/>
        <v>6.5999238212077207E-4</v>
      </c>
      <c r="D214">
        <v>308.14999999999998</v>
      </c>
      <c r="E214">
        <f t="shared" si="32"/>
        <v>2.6462895903596996E-2</v>
      </c>
      <c r="F214" s="1">
        <v>2</v>
      </c>
      <c r="G214">
        <f t="shared" si="30"/>
        <v>0.01</v>
      </c>
      <c r="H214" s="19">
        <f t="shared" si="33"/>
        <v>4.9161123285617822E-7</v>
      </c>
      <c r="I214" s="19">
        <f t="shared" si="34"/>
        <v>5.6021457189118354E-11</v>
      </c>
      <c r="J214" s="4">
        <f>(Volumes!B210+Volumes!C210)/1000*B214*(10^-6)/($J$2*D214)</f>
        <v>5.7683174785125487E-7</v>
      </c>
      <c r="K214" s="24">
        <f>(Volumes!B210/1000)*C214*E214*((Volumes!D210+Volumes!C210)/Volumes!C210/1000)</f>
        <v>1.1527104405451142E-10</v>
      </c>
      <c r="L214" s="19">
        <f>J214*(H214/1000*Volumes!B210)/(G214/1000*Volumes!B210)</f>
        <v>2.8357696671173959E-11</v>
      </c>
      <c r="M214" s="19">
        <f>L214*(I214/1000*Volumes!B210)/(G214/1000*Volumes!B210)</f>
        <v>1.588639490046176E-19</v>
      </c>
      <c r="N214" s="20">
        <f t="shared" si="35"/>
        <v>1.4362874088454933E-10</v>
      </c>
      <c r="O214" s="20">
        <f>(N214+J214)*(1000/Volumes!D210)</f>
        <v>1.1539507531842789E-4</v>
      </c>
      <c r="P214" s="22">
        <f t="shared" si="31"/>
        <v>5.0784218696886931</v>
      </c>
      <c r="Q214" s="5">
        <f t="shared" si="36"/>
        <v>1.3860102496496374</v>
      </c>
    </row>
    <row r="215" spans="1:17" x14ac:dyDescent="0.15">
      <c r="A215" t="s">
        <v>300</v>
      </c>
      <c r="B215" s="49">
        <v>984.94063505078896</v>
      </c>
      <c r="C215">
        <f t="shared" si="29"/>
        <v>9.8494063505078899E-4</v>
      </c>
      <c r="D215">
        <v>308.14999999999998</v>
      </c>
      <c r="E215">
        <f t="shared" si="32"/>
        <v>2.6462895903596996E-2</v>
      </c>
      <c r="F215" s="1">
        <v>2</v>
      </c>
      <c r="G215">
        <f t="shared" si="30"/>
        <v>0.01</v>
      </c>
      <c r="H215" s="19">
        <f t="shared" si="33"/>
        <v>4.9161123285617822E-7</v>
      </c>
      <c r="I215" s="19">
        <f t="shared" si="34"/>
        <v>5.6021457189118354E-11</v>
      </c>
      <c r="J215" s="4">
        <f>(Volumes!B211+Volumes!C211)/1000*B215*(10^-6)/($J$2*D215)</f>
        <v>8.6083573604355138E-7</v>
      </c>
      <c r="K215" s="24">
        <f>(Volumes!B211/1000)*C215*E215*((Volumes!D211+Volumes!C211)/Volumes!C211/1000)</f>
        <v>1.7202491787737355E-10</v>
      </c>
      <c r="L215" s="19">
        <f>J215*(H215/1000*Volumes!B211)/(G215/1000*Volumes!B211)</f>
        <v>4.2319651748302596E-11</v>
      </c>
      <c r="M215" s="19">
        <f>L215*(I215/1000*Volumes!B211)/(G215/1000*Volumes!B211)</f>
        <v>2.3708085586759317E-19</v>
      </c>
      <c r="N215" s="20">
        <f t="shared" si="35"/>
        <v>2.1434456986275701E-10</v>
      </c>
      <c r="O215" s="20">
        <f>(N215+J215)*(1000/Volumes!D211)</f>
        <v>1.7221001612268284E-4</v>
      </c>
      <c r="P215" s="22">
        <f t="shared" si="31"/>
        <v>7.578790599543149</v>
      </c>
      <c r="Q215" s="5">
        <f t="shared" si="36"/>
        <v>2.0684145036495432</v>
      </c>
    </row>
    <row r="216" spans="1:17" x14ac:dyDescent="0.15">
      <c r="A216" t="s">
        <v>301</v>
      </c>
      <c r="B216" s="49">
        <v>810</v>
      </c>
      <c r="C216">
        <f t="shared" si="29"/>
        <v>8.0999999999999996E-4</v>
      </c>
      <c r="D216">
        <v>308.14999999999998</v>
      </c>
      <c r="E216">
        <f t="shared" si="32"/>
        <v>2.6462895903596996E-2</v>
      </c>
      <c r="F216" s="1">
        <v>2</v>
      </c>
      <c r="G216">
        <f t="shared" si="30"/>
        <v>0.01</v>
      </c>
      <c r="H216" s="19">
        <f t="shared" si="33"/>
        <v>4.9161123285617822E-7</v>
      </c>
      <c r="I216" s="19">
        <f t="shared" si="34"/>
        <v>5.6021457189118354E-11</v>
      </c>
      <c r="J216" s="4">
        <f>(Volumes!B212+Volumes!C212)/1000*B216*(10^-6)/($J$2*D216)</f>
        <v>7.0793804355459564E-7</v>
      </c>
      <c r="K216" s="24">
        <f>(Volumes!B212/1000)*C216*E216*((Volumes!D212+Volumes!C212)/Volumes!C212/1000)</f>
        <v>1.4147064150062951E-10</v>
      </c>
      <c r="L216" s="19">
        <f>J216*(H216/1000*Volumes!B212)/(G216/1000*Volumes!B212)</f>
        <v>3.4803029437766556E-11</v>
      </c>
      <c r="M216" s="19">
        <f>L216*(I216/1000*Volumes!B212)/(G216/1000*Volumes!B212)</f>
        <v>1.9497164236994648E-19</v>
      </c>
      <c r="N216" s="20">
        <f t="shared" si="35"/>
        <v>1.7627367113336771E-10</v>
      </c>
      <c r="O216" s="20">
        <f>(N216+J216)*(1000/Volumes!D212)</f>
        <v>1.4162286344514581E-4</v>
      </c>
      <c r="P216" s="22">
        <f t="shared" si="31"/>
        <v>6.2326805973574224</v>
      </c>
      <c r="Q216" s="5">
        <f t="shared" si="36"/>
        <v>1.7010322128396465</v>
      </c>
    </row>
    <row r="217" spans="1:17" x14ac:dyDescent="0.15">
      <c r="A217" t="s">
        <v>302</v>
      </c>
      <c r="B217" s="49">
        <v>720</v>
      </c>
      <c r="C217">
        <f t="shared" si="29"/>
        <v>7.2000000000000005E-4</v>
      </c>
      <c r="D217">
        <v>308.14999999999998</v>
      </c>
      <c r="E217">
        <f t="shared" si="32"/>
        <v>2.6462895903596996E-2</v>
      </c>
      <c r="F217" s="1">
        <v>2</v>
      </c>
      <c r="G217">
        <f t="shared" si="30"/>
        <v>0.01</v>
      </c>
      <c r="H217" s="19">
        <f t="shared" si="33"/>
        <v>4.9161123285617822E-7</v>
      </c>
      <c r="I217" s="19">
        <f t="shared" si="34"/>
        <v>5.6021457189118354E-11</v>
      </c>
      <c r="J217" s="4">
        <f>(Volumes!B213+Volumes!C213)/1000*B217*(10^-6)/($J$2*D217)</f>
        <v>6.2927826093741832E-7</v>
      </c>
      <c r="K217" s="24">
        <f>(Volumes!B213/1000)*C217*E217*((Volumes!D213+Volumes!C213)/Volumes!C213/1000)</f>
        <v>1.2575168133389294E-10</v>
      </c>
      <c r="L217" s="19">
        <f>J217*(H217/1000*Volumes!B213)/(G217/1000*Volumes!B213)</f>
        <v>3.0936026166903611E-11</v>
      </c>
      <c r="M217" s="19">
        <f>L217*(I217/1000*Volumes!B213)/(G217/1000*Volumes!B213)</f>
        <v>1.7330812655106357E-19</v>
      </c>
      <c r="N217" s="20">
        <f t="shared" si="35"/>
        <v>1.5668770767410467E-10</v>
      </c>
      <c r="O217" s="20">
        <f>(N217+J217)*(1000/Volumes!D213)</f>
        <v>1.2588698972901849E-4</v>
      </c>
      <c r="P217" s="22">
        <f t="shared" si="31"/>
        <v>5.5401605309843749</v>
      </c>
      <c r="Q217" s="5">
        <f t="shared" si="36"/>
        <v>1.5120286336352409</v>
      </c>
    </row>
    <row r="218" spans="1:17" x14ac:dyDescent="0.15">
      <c r="A218" t="s">
        <v>303</v>
      </c>
      <c r="B218" s="49">
        <v>1170</v>
      </c>
      <c r="C218">
        <f t="shared" si="29"/>
        <v>1.17E-3</v>
      </c>
      <c r="D218">
        <v>308.14999999999998</v>
      </c>
      <c r="E218">
        <f t="shared" si="32"/>
        <v>2.6462895903596996E-2</v>
      </c>
      <c r="F218" s="1">
        <v>2</v>
      </c>
      <c r="G218">
        <f t="shared" si="30"/>
        <v>0.01</v>
      </c>
      <c r="H218" s="19">
        <f t="shared" si="33"/>
        <v>4.9161123285617822E-7</v>
      </c>
      <c r="I218" s="19">
        <f t="shared" si="34"/>
        <v>5.6021457189118354E-11</v>
      </c>
      <c r="J218" s="4">
        <f>(Volumes!B214+Volumes!C214)/1000*B218*(10^-6)/($J$2*D218)</f>
        <v>1.0225771740233048E-6</v>
      </c>
      <c r="K218" s="24">
        <f>(Volumes!B214/1000)*C218*E218*((Volumes!D214+Volumes!C214)/Volumes!C214/1000)</f>
        <v>2.0434648216757601E-10</v>
      </c>
      <c r="L218" s="19">
        <f>J218*(H218/1000*Volumes!B214)/(G218/1000*Volumes!B214)</f>
        <v>5.0271042521218367E-11</v>
      </c>
      <c r="M218" s="19">
        <f>L218*(I218/1000*Volumes!B214)/(G218/1000*Volumes!B214)</f>
        <v>2.8162570564547834E-19</v>
      </c>
      <c r="N218" s="20">
        <f t="shared" si="35"/>
        <v>2.5461752497042005E-10</v>
      </c>
      <c r="O218" s="20">
        <f>(N218+J218)*(1000/Volumes!D214)</f>
        <v>2.0456635830965505E-4</v>
      </c>
      <c r="P218" s="22">
        <f t="shared" si="31"/>
        <v>9.002760862849609</v>
      </c>
      <c r="Q218" s="5">
        <f t="shared" si="36"/>
        <v>2.4570465296572666</v>
      </c>
    </row>
    <row r="219" spans="1:17" x14ac:dyDescent="0.15">
      <c r="A219" t="s">
        <v>304</v>
      </c>
      <c r="B219" s="49">
        <v>663</v>
      </c>
      <c r="C219">
        <f t="shared" si="29"/>
        <v>6.6299999999999996E-4</v>
      </c>
      <c r="D219">
        <v>308.14999999999998</v>
      </c>
      <c r="E219">
        <f t="shared" si="32"/>
        <v>2.6462895903596996E-2</v>
      </c>
      <c r="F219" s="1">
        <v>2</v>
      </c>
      <c r="G219">
        <f t="shared" si="30"/>
        <v>0.01</v>
      </c>
      <c r="H219" s="19">
        <f t="shared" si="33"/>
        <v>4.9161123285617822E-7</v>
      </c>
      <c r="I219" s="19">
        <f t="shared" si="34"/>
        <v>5.6021457189118354E-11</v>
      </c>
      <c r="J219" s="4">
        <f>(Volumes!B215+Volumes!C215)/1000*B219*(10^-6)/($J$2*D219)</f>
        <v>5.7946039861320605E-7</v>
      </c>
      <c r="K219" s="24">
        <f>(Volumes!B215/1000)*C219*E219*((Volumes!D215+Volumes!C215)/Volumes!C215/1000)</f>
        <v>1.1579633989495972E-10</v>
      </c>
      <c r="L219" s="19">
        <f>J219*(H219/1000*Volumes!B215)/(G219/1000*Volumes!B215)</f>
        <v>2.8486924095357072E-11</v>
      </c>
      <c r="M219" s="19">
        <f>L219*(I219/1000*Volumes!B215)/(G219/1000*Volumes!B215)</f>
        <v>1.5958789986577104E-19</v>
      </c>
      <c r="N219" s="20">
        <f t="shared" si="35"/>
        <v>1.4428326414990468E-10</v>
      </c>
      <c r="O219" s="20">
        <f>(N219+J219)*(1000/Volumes!D215)</f>
        <v>1.1592093637547119E-4</v>
      </c>
      <c r="P219" s="22">
        <f t="shared" si="31"/>
        <v>5.1015644889481111</v>
      </c>
      <c r="Q219" s="5">
        <f t="shared" si="36"/>
        <v>1.3923263668057844</v>
      </c>
    </row>
    <row r="220" spans="1:17" x14ac:dyDescent="0.15">
      <c r="A220" t="s">
        <v>305</v>
      </c>
      <c r="B220" s="49">
        <v>857.72702054842</v>
      </c>
      <c r="C220">
        <f t="shared" si="29"/>
        <v>8.5772702054842003E-4</v>
      </c>
      <c r="D220">
        <v>308.14999999999998</v>
      </c>
      <c r="E220">
        <f t="shared" si="32"/>
        <v>2.6462895903596996E-2</v>
      </c>
      <c r="F220" s="1">
        <v>2</v>
      </c>
      <c r="G220">
        <f t="shared" si="30"/>
        <v>0.01</v>
      </c>
      <c r="H220" s="19">
        <f t="shared" si="33"/>
        <v>4.9161123285617822E-7</v>
      </c>
      <c r="I220" s="19">
        <f t="shared" si="34"/>
        <v>5.6021457189118354E-11</v>
      </c>
      <c r="J220" s="4">
        <f>(Volumes!B216+Volumes!C216)/1000*B220*(10^-6)/($J$2*D220)</f>
        <v>7.4965134423575404E-7</v>
      </c>
      <c r="K220" s="24">
        <f>(Volumes!B216/1000)*C220*E220*((Volumes!D216+Volumes!C216)/Volumes!C216/1000)</f>
        <v>1.498064096659366E-10</v>
      </c>
      <c r="L220" s="19">
        <f>J220*(H220/1000*Volumes!B216)/(G220/1000*Volumes!B216)</f>
        <v>3.6853702155203038E-11</v>
      </c>
      <c r="M220" s="19">
        <f>L220*(I220/1000*Volumes!B216)/(G220/1000*Volumes!B216)</f>
        <v>2.0645980975482257E-19</v>
      </c>
      <c r="N220" s="20">
        <f t="shared" si="35"/>
        <v>1.8666011202759944E-10</v>
      </c>
      <c r="O220" s="20">
        <f>(N220+J220)*(1000/Volumes!D216)</f>
        <v>1.4996760086955632E-4</v>
      </c>
      <c r="P220" s="22">
        <f t="shared" si="31"/>
        <v>6.5999241466683047</v>
      </c>
      <c r="Q220" s="5">
        <f t="shared" si="36"/>
        <v>1.801260854044241</v>
      </c>
    </row>
    <row r="221" spans="1:17" x14ac:dyDescent="0.15">
      <c r="A221" t="s">
        <v>306</v>
      </c>
      <c r="B221" s="49">
        <v>1032.2720262098001</v>
      </c>
      <c r="C221">
        <f t="shared" si="29"/>
        <v>1.0322720262098E-3</v>
      </c>
      <c r="D221">
        <v>308.14999999999998</v>
      </c>
      <c r="E221">
        <f t="shared" si="32"/>
        <v>2.6462895903596996E-2</v>
      </c>
      <c r="F221" s="1">
        <v>2</v>
      </c>
      <c r="G221">
        <f t="shared" si="30"/>
        <v>0.01</v>
      </c>
      <c r="H221" s="19">
        <f t="shared" si="33"/>
        <v>4.9161123285617822E-7</v>
      </c>
      <c r="I221" s="19">
        <f t="shared" si="34"/>
        <v>5.6021457189118354E-11</v>
      </c>
      <c r="J221" s="4">
        <f>(Volumes!B217+Volumes!C217)/1000*B221*(10^-6)/($J$2*D221)</f>
        <v>9.0220325759395557E-7</v>
      </c>
      <c r="K221" s="24">
        <f>(Volumes!B217/1000)*C221*E221*((Volumes!D217+Volumes!C217)/Volumes!C217/1000)</f>
        <v>1.8029158734698156E-10</v>
      </c>
      <c r="L221" s="19">
        <f>J221*(H221/1000*Volumes!B217)/(G221/1000*Volumes!B217)</f>
        <v>4.4353325575262473E-11</v>
      </c>
      <c r="M221" s="19">
        <f>L221*(I221/1000*Volumes!B217)/(G221/1000*Volumes!B217)</f>
        <v>2.4847379299095948E-19</v>
      </c>
      <c r="N221" s="20">
        <f t="shared" si="35"/>
        <v>2.2464491317071782E-10</v>
      </c>
      <c r="O221" s="20">
        <f>(N221+J221)*(1000/Volumes!D217)</f>
        <v>1.8048558050142525E-4</v>
      </c>
      <c r="P221" s="22">
        <f t="shared" si="31"/>
        <v>7.9429899122872243</v>
      </c>
      <c r="Q221" s="5">
        <f t="shared" si="36"/>
        <v>2.167812307402619</v>
      </c>
    </row>
    <row r="222" spans="1:17" x14ac:dyDescent="0.15">
      <c r="A222" t="s">
        <v>307</v>
      </c>
      <c r="B222" s="49">
        <v>555.55503071678402</v>
      </c>
      <c r="C222">
        <f t="shared" si="29"/>
        <v>5.5555503071678405E-4</v>
      </c>
      <c r="D222">
        <v>308.14999999999998</v>
      </c>
      <c r="E222">
        <f t="shared" si="32"/>
        <v>2.6462895903596996E-2</v>
      </c>
      <c r="F222" s="1">
        <v>2</v>
      </c>
      <c r="G222">
        <f t="shared" si="30"/>
        <v>0.01</v>
      </c>
      <c r="H222" s="19">
        <f t="shared" si="33"/>
        <v>4.9161123285617822E-7</v>
      </c>
      <c r="I222" s="19">
        <f t="shared" si="34"/>
        <v>5.6021457189118354E-11</v>
      </c>
      <c r="J222" s="4">
        <f>(Volumes!B218+Volumes!C218)/1000*B222*(10^-6)/($J$2*D222)</f>
        <v>4.8555375497846092E-7</v>
      </c>
      <c r="K222" s="24">
        <f>(Volumes!B218/1000)*C222*E222*((Volumes!D218+Volumes!C218)/Volumes!C218/1000)</f>
        <v>9.7030526647414058E-11</v>
      </c>
      <c r="L222" s="19">
        <f>J222*(H222/1000*Volumes!B218)/(G222/1000*Volumes!B218)</f>
        <v>2.3870368010290789E-11</v>
      </c>
      <c r="M222" s="19">
        <f>L222*(I222/1000*Volumes!B218)/(G222/1000*Volumes!B218)</f>
        <v>1.3372527995770057E-19</v>
      </c>
      <c r="N222" s="20">
        <f t="shared" si="35"/>
        <v>1.2090089479143013E-10</v>
      </c>
      <c r="O222" s="20">
        <f>(N222+J222)*(1000/Volumes!D218)</f>
        <v>9.7134931174650471E-5</v>
      </c>
      <c r="P222" s="22">
        <f t="shared" si="31"/>
        <v>4.2748111860651923</v>
      </c>
      <c r="Q222" s="5">
        <f t="shared" si="36"/>
        <v>1.1666876583387267</v>
      </c>
    </row>
    <row r="223" spans="1:17" x14ac:dyDescent="0.15">
      <c r="A223" t="s">
        <v>308</v>
      </c>
      <c r="B223" s="49">
        <v>596.27534299692695</v>
      </c>
      <c r="C223">
        <f t="shared" si="29"/>
        <v>5.9627534299692693E-4</v>
      </c>
      <c r="D223">
        <v>308.14999999999998</v>
      </c>
      <c r="E223">
        <f t="shared" si="32"/>
        <v>2.6462895903596996E-2</v>
      </c>
      <c r="F223" s="1">
        <v>2</v>
      </c>
      <c r="G223">
        <f t="shared" si="30"/>
        <v>0.01</v>
      </c>
      <c r="H223" s="19">
        <f t="shared" si="33"/>
        <v>4.9161123285617822E-7</v>
      </c>
      <c r="I223" s="19">
        <f t="shared" si="34"/>
        <v>5.6021457189118354E-11</v>
      </c>
      <c r="J223" s="4">
        <f>(Volumes!B219+Volumes!C219)/1000*B223*(10^-6)/($J$2*D223)</f>
        <v>5.2114320955690109E-7</v>
      </c>
      <c r="K223" s="24">
        <f>(Volumes!B219/1000)*C223*E223*((Volumes!D219+Volumes!C219)/Volumes!C219/1000)</f>
        <v>1.0414253738862119E-10</v>
      </c>
      <c r="L223" s="19">
        <f>J223*(H223/1000*Volumes!B219)/(G223/1000*Volumes!B219)</f>
        <v>2.5619985574489384E-11</v>
      </c>
      <c r="M223" s="19">
        <f>L223*(I223/1000*Volumes!B219)/(G223/1000*Volumes!B219)</f>
        <v>1.4352689250470867E-19</v>
      </c>
      <c r="N223" s="20">
        <f t="shared" si="35"/>
        <v>1.2976252310663748E-10</v>
      </c>
      <c r="O223" s="20">
        <f>(N223+J223)*(1000/Volumes!D219)</f>
        <v>1.0425459441600155E-4</v>
      </c>
      <c r="P223" s="22">
        <f t="shared" si="31"/>
        <v>4.5881404456538126</v>
      </c>
      <c r="Q223" s="5">
        <f t="shared" si="36"/>
        <v>1.2522019335305947</v>
      </c>
    </row>
    <row r="224" spans="1:17" x14ac:dyDescent="0.15">
      <c r="A224" t="s">
        <v>309</v>
      </c>
      <c r="B224" s="49">
        <v>814.22485529045002</v>
      </c>
      <c r="C224">
        <f t="shared" si="29"/>
        <v>8.1422485529045001E-4</v>
      </c>
      <c r="D224">
        <v>308.14999999999998</v>
      </c>
      <c r="E224">
        <f t="shared" si="32"/>
        <v>2.6462895903596996E-2</v>
      </c>
      <c r="F224" s="1">
        <v>2</v>
      </c>
      <c r="G224">
        <f t="shared" si="30"/>
        <v>0.01</v>
      </c>
      <c r="H224" s="19">
        <f t="shared" si="33"/>
        <v>4.9161123285617822E-7</v>
      </c>
      <c r="I224" s="19">
        <f t="shared" si="34"/>
        <v>5.6021457189118354E-11</v>
      </c>
      <c r="J224" s="4">
        <f>(Volumes!B220+Volumes!C220)/1000*B224*(10^-6)/($J$2*D224)</f>
        <v>7.1163055687388271E-7</v>
      </c>
      <c r="K224" s="24">
        <f>(Volumes!B220/1000)*C224*E224*((Volumes!D220+Volumes!C220)/Volumes!C220/1000)</f>
        <v>1.4220853407863852E-10</v>
      </c>
      <c r="L224" s="19">
        <f>J224*(H224/1000*Volumes!B220)/(G224/1000*Volumes!B220)</f>
        <v>3.4984557540289812E-11</v>
      </c>
      <c r="M224" s="19">
        <f>L224*(I224/1000*Volumes!B220)/(G224/1000*Volumes!B220)</f>
        <v>1.9598858925235932E-19</v>
      </c>
      <c r="N224" s="20">
        <f t="shared" si="35"/>
        <v>1.771930918149169E-10</v>
      </c>
      <c r="O224" s="20">
        <f>(N224+J224)*(1000/Volumes!D220)</f>
        <v>1.4236154999313952E-4</v>
      </c>
      <c r="P224" s="22">
        <f t="shared" si="31"/>
        <v>6.2651894536480777</v>
      </c>
      <c r="Q224" s="5">
        <f t="shared" si="36"/>
        <v>1.7099045769675987</v>
      </c>
    </row>
    <row r="225" spans="1:17" x14ac:dyDescent="0.15">
      <c r="A225" t="s">
        <v>310</v>
      </c>
      <c r="B225" s="49">
        <v>620.82636951230597</v>
      </c>
      <c r="C225">
        <f t="shared" si="29"/>
        <v>6.2082636951230595E-4</v>
      </c>
      <c r="D225">
        <v>308.14999999999998</v>
      </c>
      <c r="E225">
        <f t="shared" si="32"/>
        <v>2.6462895903596996E-2</v>
      </c>
      <c r="F225" s="1">
        <v>2</v>
      </c>
      <c r="G225">
        <f t="shared" si="30"/>
        <v>0.01</v>
      </c>
      <c r="H225" s="19">
        <f t="shared" si="33"/>
        <v>4.9161123285617822E-7</v>
      </c>
      <c r="I225" s="19">
        <f t="shared" si="34"/>
        <v>5.6021457189118354E-11</v>
      </c>
      <c r="J225" s="4">
        <f>(Volumes!B221+Volumes!C221)/1000*B225*(10^-6)/($J$2*D225)</f>
        <v>5.4260074743165959E-7</v>
      </c>
      <c r="K225" s="24">
        <f>(Volumes!B221/1000)*C225*E225*((Volumes!D221+Volumes!C221)/Volumes!C221/1000)</f>
        <v>1.0843049969804049E-10</v>
      </c>
      <c r="L225" s="19">
        <f>J225*(H225/1000*Volumes!B221)/(G225/1000*Volumes!B221)</f>
        <v>2.6674862239356199E-11</v>
      </c>
      <c r="M225" s="19">
        <f>L225*(I225/1000*Volumes!B221)/(G225/1000*Volumes!B221)</f>
        <v>1.494364652967723E-19</v>
      </c>
      <c r="N225" s="20">
        <f t="shared" si="35"/>
        <v>1.3510536208683317E-10</v>
      </c>
      <c r="O225" s="20">
        <f>(N225+J225)*(1000/Volumes!D221)</f>
        <v>1.085471705587493E-4</v>
      </c>
      <c r="P225" s="22">
        <f t="shared" si="31"/>
        <v>4.7770524291199976</v>
      </c>
      <c r="Q225" s="5">
        <f t="shared" si="36"/>
        <v>1.3037600655811377</v>
      </c>
    </row>
    <row r="226" spans="1:17" x14ac:dyDescent="0.15">
      <c r="A226" t="s">
        <v>311</v>
      </c>
      <c r="B226" s="49">
        <v>781</v>
      </c>
      <c r="C226">
        <f t="shared" si="29"/>
        <v>7.8100000000000001E-4</v>
      </c>
      <c r="D226">
        <v>308.14999999999998</v>
      </c>
      <c r="E226">
        <f t="shared" si="32"/>
        <v>2.6462895903596996E-2</v>
      </c>
      <c r="F226" s="1">
        <v>2</v>
      </c>
      <c r="G226">
        <f t="shared" si="30"/>
        <v>0.01</v>
      </c>
      <c r="H226" s="19">
        <f t="shared" si="33"/>
        <v>4.9161123285617822E-7</v>
      </c>
      <c r="I226" s="19">
        <f t="shared" si="34"/>
        <v>5.6021457189118354E-11</v>
      </c>
      <c r="J226" s="4">
        <f>(Volumes!B222+Volumes!C222)/1000*B226*(10^-6)/($J$2*D226)</f>
        <v>6.8259211360017188E-7</v>
      </c>
      <c r="K226" s="24">
        <f>(Volumes!B222/1000)*C226*E226*((Volumes!D222+Volumes!C222)/Volumes!C222/1000)</f>
        <v>1.3640564322468109E-10</v>
      </c>
      <c r="L226" s="19">
        <f>J226*(H226/1000*Volumes!B222)/(G226/1000*Volumes!B222)</f>
        <v>3.3556995050488502E-11</v>
      </c>
      <c r="M226" s="19">
        <f>L226*(I226/1000*Volumes!B222)/(G226/1000*Volumes!B222)</f>
        <v>1.8799117616163978E-19</v>
      </c>
      <c r="N226" s="20">
        <f t="shared" si="35"/>
        <v>1.6996263846316077E-10</v>
      </c>
      <c r="O226" s="20">
        <f>(N226+J226)*(1000/Volumes!D222)</f>
        <v>1.3655241524772701E-4</v>
      </c>
      <c r="P226" s="22">
        <f t="shared" si="31"/>
        <v>6.0095352426372184</v>
      </c>
      <c r="Q226" s="5">
        <f t="shared" si="36"/>
        <v>1.640131059540449</v>
      </c>
    </row>
    <row r="227" spans="1:17" x14ac:dyDescent="0.15">
      <c r="A227" t="s">
        <v>312</v>
      </c>
      <c r="B227" s="49">
        <v>948.51564692761701</v>
      </c>
      <c r="C227">
        <f t="shared" si="29"/>
        <v>9.4851564692761698E-4</v>
      </c>
      <c r="D227">
        <v>308.14999999999998</v>
      </c>
      <c r="E227">
        <f t="shared" si="32"/>
        <v>2.6462895903596996E-2</v>
      </c>
      <c r="F227" s="1">
        <v>2</v>
      </c>
      <c r="G227">
        <f t="shared" si="30"/>
        <v>0.01</v>
      </c>
      <c r="H227" s="19">
        <f t="shared" si="33"/>
        <v>4.9161123285617822E-7</v>
      </c>
      <c r="I227" s="19">
        <f t="shared" si="34"/>
        <v>5.6021457189118354E-11</v>
      </c>
      <c r="J227" s="4">
        <f>(Volumes!B223+Volumes!C223)/1000*B227*(10^-6)/($J$2*D227)</f>
        <v>8.290003844035294E-7</v>
      </c>
      <c r="K227" s="24">
        <f>(Volumes!B223/1000)*C227*E227*((Volumes!D223+Volumes!C223)/Volumes!C223/1000)</f>
        <v>1.6566310746201802E-10</v>
      </c>
      <c r="L227" s="19">
        <f>J227*(H227/1000*Volumes!B223)/(G227/1000*Volumes!B223)</f>
        <v>4.0754590101486481E-11</v>
      </c>
      <c r="M227" s="19">
        <f>L227*(I227/1000*Volumes!B223)/(G227/1000*Volumes!B223)</f>
        <v>2.2831315246304915E-19</v>
      </c>
      <c r="N227" s="20">
        <f t="shared" si="35"/>
        <v>2.0641769779181764E-10</v>
      </c>
      <c r="O227" s="20">
        <f>(N227+J227)*(1000/Volumes!D223)</f>
        <v>1.6584136042026423E-4</v>
      </c>
      <c r="P227" s="22">
        <f t="shared" si="31"/>
        <v>7.2985124307354079</v>
      </c>
      <c r="Q227" s="5">
        <f t="shared" si="36"/>
        <v>1.9919205800077933</v>
      </c>
    </row>
    <row r="228" spans="1:17" x14ac:dyDescent="0.15">
      <c r="A228" t="s">
        <v>313</v>
      </c>
      <c r="B228" s="49">
        <v>877</v>
      </c>
      <c r="C228">
        <f t="shared" si="29"/>
        <v>8.7699999999999996E-4</v>
      </c>
      <c r="D228">
        <v>308.14999999999998</v>
      </c>
      <c r="E228">
        <f t="shared" si="32"/>
        <v>2.6462895903596996E-2</v>
      </c>
      <c r="F228" s="1">
        <v>2</v>
      </c>
      <c r="G228">
        <f t="shared" si="30"/>
        <v>0.01</v>
      </c>
      <c r="H228" s="19">
        <f t="shared" si="33"/>
        <v>4.9161123285617822E-7</v>
      </c>
      <c r="I228" s="19">
        <f t="shared" si="34"/>
        <v>5.6021457189118354E-11</v>
      </c>
      <c r="J228" s="4">
        <f>(Volumes!B224+Volumes!C224)/1000*B228*(10^-6)/($J$2*D228)</f>
        <v>7.6649588172516098E-7</v>
      </c>
      <c r="K228" s="24">
        <f>(Volumes!B224/1000)*C228*E228*((Volumes!D224+Volumes!C224)/Volumes!C224/1000)</f>
        <v>1.5317253406920012E-10</v>
      </c>
      <c r="L228" s="19">
        <f>J228*(H228/1000*Volumes!B224)/(G228/1000*Volumes!B224)</f>
        <v>3.7681798539408979E-11</v>
      </c>
      <c r="M228" s="19">
        <f>L228*(I228/1000*Volumes!B224)/(G228/1000*Volumes!B224)</f>
        <v>2.1109892636844825E-19</v>
      </c>
      <c r="N228" s="20">
        <f t="shared" si="35"/>
        <v>1.9085433281970803E-10</v>
      </c>
      <c r="O228" s="20">
        <f>(N228+J228)*(1000/Volumes!D224)</f>
        <v>1.5333734721159612E-4</v>
      </c>
      <c r="P228" s="22">
        <f t="shared" si="31"/>
        <v>6.7482233134351333</v>
      </c>
      <c r="Q228" s="5">
        <f t="shared" si="36"/>
        <v>1.8417348773584807</v>
      </c>
    </row>
    <row r="229" spans="1:17" x14ac:dyDescent="0.15">
      <c r="A229" t="s">
        <v>314</v>
      </c>
      <c r="B229" s="49">
        <v>758.84159206254901</v>
      </c>
      <c r="C229">
        <f t="shared" si="29"/>
        <v>7.5884159206254906E-4</v>
      </c>
      <c r="D229">
        <v>308.14999999999998</v>
      </c>
      <c r="E229">
        <f t="shared" si="32"/>
        <v>2.6462895903596996E-2</v>
      </c>
      <c r="F229" s="1">
        <v>2</v>
      </c>
      <c r="G229">
        <f t="shared" si="30"/>
        <v>0.01</v>
      </c>
      <c r="H229" s="19">
        <f t="shared" si="33"/>
        <v>4.9161123285617822E-7</v>
      </c>
      <c r="I229" s="19">
        <f t="shared" si="34"/>
        <v>5.6021457189118354E-11</v>
      </c>
      <c r="J229" s="4">
        <f>(Volumes!B225+Volumes!C225)/1000*B229*(10^-6)/($J$2*D229)</f>
        <v>6.6322571858347597E-7</v>
      </c>
      <c r="K229" s="24">
        <f>(Volumes!B225/1000)*C229*E229*((Volumes!D225+Volumes!C225)/Volumes!C225/1000)</f>
        <v>1.3253556398326894E-10</v>
      </c>
      <c r="L229" s="19">
        <f>J229*(H229/1000*Volumes!B225)/(G229/1000*Volumes!B225)</f>
        <v>3.2604921317474736E-11</v>
      </c>
      <c r="M229" s="19">
        <f>L229*(I229/1000*Volumes!B225)/(G229/1000*Volumes!B225)</f>
        <v>1.8265752037414833E-19</v>
      </c>
      <c r="N229" s="20">
        <f t="shared" si="35"/>
        <v>1.6514048548340122E-10</v>
      </c>
      <c r="O229" s="20">
        <f>(N229+J229)*(1000/Volumes!D225)</f>
        <v>1.3267817181379188E-4</v>
      </c>
      <c r="P229" s="22">
        <f t="shared" si="31"/>
        <v>5.8390336633531668</v>
      </c>
      <c r="Q229" s="5">
        <f t="shared" si="36"/>
        <v>1.5935975216554541</v>
      </c>
    </row>
    <row r="230" spans="1:17" x14ac:dyDescent="0.15">
      <c r="A230" t="s">
        <v>315</v>
      </c>
      <c r="B230" s="49">
        <v>682.02131083340396</v>
      </c>
      <c r="C230">
        <f t="shared" si="29"/>
        <v>6.8202131083340393E-4</v>
      </c>
      <c r="D230">
        <v>308.14999999999998</v>
      </c>
      <c r="E230">
        <f t="shared" si="32"/>
        <v>2.6462895903596996E-2</v>
      </c>
      <c r="F230" s="1">
        <v>2</v>
      </c>
      <c r="G230">
        <f t="shared" si="30"/>
        <v>0.01</v>
      </c>
      <c r="H230" s="19">
        <f t="shared" si="33"/>
        <v>4.9161123285617822E-7</v>
      </c>
      <c r="I230" s="19">
        <f t="shared" si="34"/>
        <v>5.6021457189118354E-11</v>
      </c>
      <c r="J230" s="4">
        <f>(Volumes!B226+Volumes!C226)/1000*B230*(10^-6)/($J$2*D230)</f>
        <v>5.9608497833819837E-7</v>
      </c>
      <c r="K230" s="24">
        <f>(Volumes!B226/1000)*C230*E230*((Volumes!D226+Volumes!C226)/Volumes!C226/1000)</f>
        <v>1.1911850908728631E-10</v>
      </c>
      <c r="L230" s="19">
        <f>J230*(H230/1000*Volumes!B226)/(G230/1000*Volumes!B226)</f>
        <v>2.9304207108789001E-11</v>
      </c>
      <c r="M230" s="19">
        <f>L230*(I230/1000*Volumes!B226)/(G230/1000*Volumes!B226)</f>
        <v>1.6416643840060806E-19</v>
      </c>
      <c r="N230" s="20">
        <f t="shared" si="35"/>
        <v>1.4842271636024174E-10</v>
      </c>
      <c r="O230" s="20">
        <f>(N230+J230)*(1000/Volumes!D226)</f>
        <v>1.1924668021091172E-4</v>
      </c>
      <c r="P230" s="22">
        <f t="shared" si="31"/>
        <v>5.2479271494020132</v>
      </c>
      <c r="Q230" s="5">
        <f t="shared" si="36"/>
        <v>1.4322718760132602</v>
      </c>
    </row>
    <row r="231" spans="1:17" x14ac:dyDescent="0.15">
      <c r="A231" t="s">
        <v>316</v>
      </c>
      <c r="B231" s="49">
        <v>786.18779426404899</v>
      </c>
      <c r="C231">
        <f t="shared" si="29"/>
        <v>7.8618779426404899E-4</v>
      </c>
      <c r="D231">
        <v>308.14999999999998</v>
      </c>
      <c r="E231">
        <f t="shared" si="32"/>
        <v>2.6462895903596996E-2</v>
      </c>
      <c r="F231" s="1">
        <v>2</v>
      </c>
      <c r="G231">
        <f t="shared" si="30"/>
        <v>0.01</v>
      </c>
      <c r="H231" s="19">
        <f t="shared" si="33"/>
        <v>4.9161123285617822E-7</v>
      </c>
      <c r="I231" s="19">
        <f t="shared" si="34"/>
        <v>5.6021457189118354E-11</v>
      </c>
      <c r="J231" s="4">
        <f>(Volumes!B227+Volumes!C227)/1000*B231*(10^-6)/($J$2*D231)</f>
        <v>6.871262332565355E-7</v>
      </c>
      <c r="K231" s="24">
        <f>(Volumes!B227/1000)*C231*E231*((Volumes!D227+Volumes!C227)/Volumes!C227/1000)</f>
        <v>1.3731171801790118E-10</v>
      </c>
      <c r="L231" s="19">
        <f>J231*(H231/1000*Volumes!B227)/(G231/1000*Volumes!B227)</f>
        <v>3.3779897465906731E-11</v>
      </c>
      <c r="M231" s="19">
        <f>L231*(I231/1000*Volumes!B227)/(G231/1000*Volumes!B227)</f>
        <v>1.8923990797391014E-19</v>
      </c>
      <c r="N231" s="20">
        <f t="shared" si="35"/>
        <v>1.7109161567304782E-10</v>
      </c>
      <c r="O231" s="20">
        <f>(N231+J231)*(1000/Volumes!D227)</f>
        <v>1.3745946497444172E-4</v>
      </c>
      <c r="P231" s="22">
        <f t="shared" si="31"/>
        <v>6.0494535940602052</v>
      </c>
      <c r="Q231" s="5">
        <f t="shared" si="36"/>
        <v>1.6510256338080191</v>
      </c>
    </row>
    <row r="232" spans="1:17" x14ac:dyDescent="0.15">
      <c r="A232" t="s">
        <v>317</v>
      </c>
      <c r="B232" s="49">
        <v>703</v>
      </c>
      <c r="C232">
        <f t="shared" si="29"/>
        <v>7.0299999999999996E-4</v>
      </c>
      <c r="D232">
        <v>308.14999999999998</v>
      </c>
      <c r="E232">
        <f t="shared" si="32"/>
        <v>2.6462895903596996E-2</v>
      </c>
      <c r="F232" s="1">
        <v>2</v>
      </c>
      <c r="G232">
        <f t="shared" si="30"/>
        <v>0.01</v>
      </c>
      <c r="H232" s="19">
        <f t="shared" si="33"/>
        <v>4.9161123285617822E-7</v>
      </c>
      <c r="I232" s="19">
        <f t="shared" si="34"/>
        <v>5.6021457189118354E-11</v>
      </c>
      <c r="J232" s="4">
        <f>(Volumes!B228+Volumes!C228)/1000*B232*(10^-6)/($J$2*D232)</f>
        <v>6.1442030199861812E-7</v>
      </c>
      <c r="K232" s="24">
        <f>(Volumes!B228/1000)*C232*E232*((Volumes!D228+Volumes!C228)/Volumes!C228/1000)</f>
        <v>1.2278254441350933E-10</v>
      </c>
      <c r="L232" s="19">
        <f>J232*(H232/1000*Volumes!B228)/(G232/1000*Volumes!B228)</f>
        <v>3.0205592215740607E-11</v>
      </c>
      <c r="M232" s="19">
        <f>L232*(I232/1000*Volumes!B228)/(G232/1000*Volumes!B228)</f>
        <v>1.6921612911860789E-19</v>
      </c>
      <c r="N232" s="20">
        <f t="shared" si="35"/>
        <v>1.5298813679846606E-10</v>
      </c>
      <c r="O232" s="20">
        <f>(N232+J232)*(1000/Volumes!D228)</f>
        <v>1.2291465802708333E-4</v>
      </c>
      <c r="P232" s="22">
        <f t="shared" si="31"/>
        <v>5.40935118511391</v>
      </c>
      <c r="Q232" s="5">
        <f t="shared" si="36"/>
        <v>1.4763279575632977</v>
      </c>
    </row>
    <row r="233" spans="1:17" x14ac:dyDescent="0.15">
      <c r="A233" t="s">
        <v>318</v>
      </c>
      <c r="B233" s="49">
        <v>441</v>
      </c>
      <c r="C233">
        <f t="shared" si="29"/>
        <v>4.4099999999999999E-4</v>
      </c>
      <c r="D233">
        <v>308.14999999999998</v>
      </c>
      <c r="E233">
        <f t="shared" si="32"/>
        <v>2.6462895903596996E-2</v>
      </c>
      <c r="F233" s="1">
        <v>2</v>
      </c>
      <c r="G233">
        <f t="shared" si="30"/>
        <v>0.01</v>
      </c>
      <c r="H233" s="19">
        <f t="shared" si="33"/>
        <v>4.9161123285617822E-7</v>
      </c>
      <c r="I233" s="19">
        <f t="shared" si="34"/>
        <v>5.6021457189118354E-11</v>
      </c>
      <c r="J233" s="4">
        <f>(Volumes!B229+Volumes!C229)/1000*B233*(10^-6)/($J$2*D233)</f>
        <v>3.854329348241687E-7</v>
      </c>
      <c r="K233" s="24">
        <f>(Volumes!B229/1000)*C233*E233*((Volumes!D229+Volumes!C229)/Volumes!C229/1000)</f>
        <v>7.7022904817009411E-11</v>
      </c>
      <c r="L233" s="19">
        <f>J233*(H233/1000*Volumes!B229)/(G233/1000*Volumes!B229)</f>
        <v>1.8948316027228456E-11</v>
      </c>
      <c r="M233" s="19">
        <f>L233*(I233/1000*Volumes!B229)/(G233/1000*Volumes!B229)</f>
        <v>1.0615122751252641E-19</v>
      </c>
      <c r="N233" s="20">
        <f t="shared" si="35"/>
        <v>9.5971220950389086E-11</v>
      </c>
      <c r="O233" s="20">
        <f>(N233+J233)*(1000/Volumes!D229)</f>
        <v>7.7105781209023822E-5</v>
      </c>
      <c r="P233" s="22">
        <f t="shared" si="31"/>
        <v>3.3933483252279291</v>
      </c>
      <c r="Q233" s="5">
        <f t="shared" si="36"/>
        <v>0.92611753810158493</v>
      </c>
    </row>
    <row r="234" spans="1:17" x14ac:dyDescent="0.15">
      <c r="A234" t="s">
        <v>319</v>
      </c>
      <c r="B234" s="49">
        <v>590.54391649850004</v>
      </c>
      <c r="C234">
        <f t="shared" si="29"/>
        <v>5.9054391649850004E-4</v>
      </c>
      <c r="D234">
        <v>308.14999999999998</v>
      </c>
      <c r="E234">
        <f t="shared" si="32"/>
        <v>2.6462895903596996E-2</v>
      </c>
      <c r="F234" s="1">
        <v>2</v>
      </c>
      <c r="G234">
        <f t="shared" si="30"/>
        <v>0.01</v>
      </c>
      <c r="H234" s="19">
        <f t="shared" si="33"/>
        <v>4.9161123285617822E-7</v>
      </c>
      <c r="I234" s="19">
        <f t="shared" si="34"/>
        <v>5.6021457189118354E-11</v>
      </c>
      <c r="J234" s="4">
        <f>(Volumes!B230+Volumes!C230)/1000*B234*(10^-6)/($J$2*D234)</f>
        <v>5.1613395664076121E-7</v>
      </c>
      <c r="K234" s="24">
        <f>(Volumes!B230/1000)*C234*E234*((Volumes!D230+Volumes!C230)/Volumes!C230/1000)</f>
        <v>1.0314151444609507E-10</v>
      </c>
      <c r="L234" s="19">
        <f>J234*(H234/1000*Volumes!B230)/(G234/1000*Volumes!B230)</f>
        <v>2.5373725074310187E-11</v>
      </c>
      <c r="M234" s="19">
        <f>L234*(I234/1000*Volumes!B230)/(G234/1000*Volumes!B230)</f>
        <v>1.4214730529789271E-19</v>
      </c>
      <c r="N234" s="20">
        <f t="shared" si="35"/>
        <v>1.2851523966255258E-10</v>
      </c>
      <c r="O234" s="20">
        <f>(N234+J234)*(1000/Volumes!D230)</f>
        <v>1.0325249437608475E-4</v>
      </c>
      <c r="P234" s="22">
        <f t="shared" si="31"/>
        <v>4.5440390249971143</v>
      </c>
      <c r="Q234" s="5">
        <f t="shared" si="36"/>
        <v>1.240165709951154</v>
      </c>
    </row>
    <row r="235" spans="1:17" x14ac:dyDescent="0.15">
      <c r="A235" t="s">
        <v>320</v>
      </c>
      <c r="B235" s="49">
        <v>914.68062958978601</v>
      </c>
      <c r="C235">
        <f t="shared" si="29"/>
        <v>9.1468062958978598E-4</v>
      </c>
      <c r="D235">
        <v>308.14999999999998</v>
      </c>
      <c r="E235">
        <f t="shared" si="32"/>
        <v>2.6462895903596996E-2</v>
      </c>
      <c r="F235" s="1">
        <v>2</v>
      </c>
      <c r="G235">
        <f t="shared" si="30"/>
        <v>0.01</v>
      </c>
      <c r="H235" s="19">
        <f t="shared" si="33"/>
        <v>4.9161123285617822E-7</v>
      </c>
      <c r="I235" s="19">
        <f t="shared" si="34"/>
        <v>5.6021457189118354E-11</v>
      </c>
      <c r="J235" s="4">
        <f>(Volumes!B231+Volumes!C231)/1000*B235*(10^-6)/($J$2*D235)</f>
        <v>7.9942866097417144E-7</v>
      </c>
      <c r="K235" s="24">
        <f>(Volumes!B231/1000)*C235*E235*((Volumes!D231+Volumes!C231)/Volumes!C231/1000)</f>
        <v>1.5975364868674903E-10</v>
      </c>
      <c r="L235" s="19">
        <f>J235*(H235/1000*Volumes!B231)/(G235/1000*Volumes!B231)</f>
        <v>3.9300810960207616E-11</v>
      </c>
      <c r="M235" s="19">
        <f>L235*(I235/1000*Volumes!B231)/(G235/1000*Volumes!B231)</f>
        <v>2.2016886987049044E-19</v>
      </c>
      <c r="N235" s="20">
        <f t="shared" si="35"/>
        <v>1.9905445986712552E-10</v>
      </c>
      <c r="O235" s="20">
        <f>(N235+J235)*(1000/Volumes!D231)</f>
        <v>1.599255430868077E-4</v>
      </c>
      <c r="P235" s="22">
        <f t="shared" si="31"/>
        <v>7.0381632257073203</v>
      </c>
      <c r="Q235" s="5">
        <f t="shared" si="36"/>
        <v>1.9208656980156471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36"/>
  <sheetViews>
    <sheetView workbookViewId="0">
      <pane ySplit="6" topLeftCell="A193" activePane="bottomLeft" state="frozen"/>
      <selection pane="bottomLeft" activeCell="N8" sqref="N8:N236"/>
    </sheetView>
  </sheetViews>
  <sheetFormatPr baseColWidth="10" defaultColWidth="9" defaultRowHeight="13" x14ac:dyDescent="0.15"/>
  <cols>
    <col min="1" max="2" width="9" customWidth="1"/>
    <col min="3" max="3" width="9" bestFit="1" customWidth="1"/>
    <col min="4" max="4" width="8.6640625" customWidth="1"/>
    <col min="5" max="6" width="9" customWidth="1"/>
    <col min="7" max="7" width="15.83203125" bestFit="1" customWidth="1"/>
    <col min="8" max="8" width="26.83203125" bestFit="1" customWidth="1"/>
    <col min="9" max="9" width="19" bestFit="1" customWidth="1"/>
    <col min="10" max="12" width="9" customWidth="1"/>
    <col min="13" max="13" width="15.83203125" customWidth="1"/>
    <col min="14" max="17" width="9" customWidth="1"/>
    <col min="18" max="18" width="12.5" bestFit="1" customWidth="1"/>
    <col min="19" max="26" width="9" customWidth="1"/>
    <col min="27" max="27" width="9" style="1" customWidth="1"/>
  </cols>
  <sheetData>
    <row r="1" spans="1:28" ht="14" thickBot="1" x14ac:dyDescent="0.2">
      <c r="G1" s="10" t="s">
        <v>0</v>
      </c>
      <c r="H1" s="14">
        <v>6.3520000000000003</v>
      </c>
      <c r="I1" s="10" t="s">
        <v>1</v>
      </c>
      <c r="J1" s="13">
        <f>10^-H1</f>
        <v>4.4463126746910741E-7</v>
      </c>
      <c r="L1" t="s">
        <v>2</v>
      </c>
      <c r="M1" t="s">
        <v>3</v>
      </c>
      <c r="P1" t="s">
        <v>4</v>
      </c>
      <c r="Q1" s="4" t="s">
        <v>75</v>
      </c>
      <c r="W1" s="5"/>
      <c r="AA1"/>
      <c r="AB1" s="1"/>
    </row>
    <row r="2" spans="1:28" ht="14" thickBot="1" x14ac:dyDescent="0.2">
      <c r="B2" s="48" t="s">
        <v>92</v>
      </c>
      <c r="C2" s="48"/>
      <c r="G2" s="10" t="s">
        <v>6</v>
      </c>
      <c r="H2" s="14">
        <v>10.33</v>
      </c>
      <c r="I2" s="10" t="s">
        <v>7</v>
      </c>
      <c r="J2" s="13">
        <f>10^-H2</f>
        <v>4.6773514128719782E-11</v>
      </c>
      <c r="L2" s="10" t="s">
        <v>8</v>
      </c>
      <c r="M2" s="10">
        <v>8.2057000000000005E-2</v>
      </c>
      <c r="N2" s="40" t="s">
        <v>9</v>
      </c>
      <c r="P2" s="11">
        <v>400</v>
      </c>
      <c r="Q2" s="10">
        <f>P2</f>
        <v>400</v>
      </c>
      <c r="W2" s="5"/>
      <c r="AA2"/>
      <c r="AB2" s="1"/>
    </row>
    <row r="3" spans="1:28" x14ac:dyDescent="0.15">
      <c r="G3" s="12" t="s">
        <v>29</v>
      </c>
      <c r="W3" s="5"/>
      <c r="AA3"/>
      <c r="AB3" s="1"/>
    </row>
    <row r="4" spans="1:28" x14ac:dyDescent="0.15">
      <c r="W4" s="5"/>
      <c r="AA4"/>
    </row>
    <row r="5" spans="1:28" x14ac:dyDescent="0.15">
      <c r="A5" s="17"/>
      <c r="B5" s="21" t="s">
        <v>11</v>
      </c>
      <c r="C5" s="36" t="s">
        <v>88</v>
      </c>
      <c r="D5" s="36" t="s">
        <v>88</v>
      </c>
      <c r="E5" s="21" t="s">
        <v>12</v>
      </c>
      <c r="F5" s="21" t="s">
        <v>13</v>
      </c>
      <c r="G5" s="21" t="s">
        <v>10</v>
      </c>
      <c r="H5" s="36" t="s">
        <v>86</v>
      </c>
      <c r="I5" s="36" t="s">
        <v>87</v>
      </c>
      <c r="J5" s="36" t="s">
        <v>88</v>
      </c>
      <c r="K5" s="36" t="s">
        <v>88</v>
      </c>
      <c r="L5" s="36" t="s">
        <v>88</v>
      </c>
      <c r="M5" s="36" t="s">
        <v>88</v>
      </c>
      <c r="N5" s="21" t="s">
        <v>75</v>
      </c>
      <c r="O5" s="35" t="s">
        <v>78</v>
      </c>
      <c r="P5" s="36" t="s">
        <v>89</v>
      </c>
      <c r="Q5" s="21"/>
      <c r="W5" s="5"/>
      <c r="AA5"/>
    </row>
    <row r="6" spans="1:28" x14ac:dyDescent="0.15">
      <c r="A6" s="3" t="s">
        <v>38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22</v>
      </c>
      <c r="L6" s="3" t="s">
        <v>23</v>
      </c>
      <c r="M6" s="3" t="s">
        <v>24</v>
      </c>
      <c r="N6" s="3" t="s">
        <v>25</v>
      </c>
      <c r="O6" s="2" t="s">
        <v>26</v>
      </c>
      <c r="P6" s="3" t="s">
        <v>76</v>
      </c>
      <c r="W6" s="5"/>
      <c r="AA6"/>
    </row>
    <row r="7" spans="1:28" x14ac:dyDescent="0.15">
      <c r="A7" s="33"/>
      <c r="B7" s="31"/>
      <c r="E7" s="31"/>
      <c r="F7" s="1"/>
      <c r="N7" s="25"/>
      <c r="O7" s="28"/>
      <c r="P7" s="1"/>
      <c r="Q7" s="23"/>
      <c r="U7" s="1"/>
      <c r="V7" s="1"/>
      <c r="W7" s="5"/>
      <c r="X7" s="25"/>
      <c r="AA7"/>
    </row>
    <row r="8" spans="1:28" ht="14" x14ac:dyDescent="0.15">
      <c r="A8" s="43" t="s">
        <v>94</v>
      </c>
      <c r="B8" s="31">
        <v>4.1100000000000003</v>
      </c>
      <c r="C8">
        <f t="shared" ref="C8:C71" si="0">10^-B8</f>
        <v>7.7624711662869057E-5</v>
      </c>
      <c r="D8">
        <f>DIC!O7</f>
        <v>5.1214193971705203E-4</v>
      </c>
      <c r="E8" s="31">
        <v>2</v>
      </c>
      <c r="F8">
        <f t="shared" ref="F8:F71" si="1">E8+273.15</f>
        <v>275.14999999999998</v>
      </c>
      <c r="G8">
        <f t="shared" ref="G8:G71" si="2">EXP(-58.0931+(90.5069*(100/F8))+(22.294*LN(F8/100)))</f>
        <v>7.1743772542911699E-2</v>
      </c>
      <c r="H8">
        <f t="shared" ref="H8:H71" si="3">10^((-3404.71/F8)+14.8435-0.032786*F8)</f>
        <v>2.8081346341222542E-7</v>
      </c>
      <c r="I8">
        <f t="shared" ref="I8:I71" si="4">10^((-2902.39/F8)+6.498-0.02379*F8)</f>
        <v>2.5339014130362006E-11</v>
      </c>
      <c r="J8">
        <f t="shared" ref="J8:J71" si="5">D8/(1+(H8/C8)+(H8*I8/C8^2))</f>
        <v>5.1029590378578527E-4</v>
      </c>
      <c r="K8">
        <f t="shared" ref="K8:K71" si="6">J8*H8/C8</f>
        <v>1.8460353286658732E-6</v>
      </c>
      <c r="L8">
        <f t="shared" ref="L8:L71" si="7">K8*I8/C8</f>
        <v>6.0260082486834111E-13</v>
      </c>
      <c r="M8">
        <f t="shared" ref="M8:M71" si="8">SUM(J8:L8)</f>
        <v>5.1214193971705203E-4</v>
      </c>
      <c r="N8" s="25">
        <f t="shared" ref="N8:N71" si="9">J8/G8*1000000</f>
        <v>7112.75537511726</v>
      </c>
      <c r="O8" s="28">
        <f t="shared" ref="O8:O71" si="10">N8/$Q$2</f>
        <v>17.78188843779315</v>
      </c>
      <c r="P8" s="1">
        <f t="shared" ref="P8:P71" si="11">J8*1000*12.01</f>
        <v>6.1286538044672811</v>
      </c>
      <c r="U8" s="1"/>
      <c r="V8" s="1"/>
      <c r="W8" s="5"/>
      <c r="X8" s="25"/>
      <c r="AA8"/>
      <c r="AB8" s="1"/>
    </row>
    <row r="9" spans="1:28" ht="14" x14ac:dyDescent="0.15">
      <c r="A9" s="43" t="s">
        <v>95</v>
      </c>
      <c r="B9" s="31">
        <v>4.07</v>
      </c>
      <c r="C9">
        <f t="shared" si="0"/>
        <v>8.5113803820237487E-5</v>
      </c>
      <c r="D9">
        <f>DIC!O8</f>
        <v>3.5759798669916885E-4</v>
      </c>
      <c r="E9" s="31">
        <v>2</v>
      </c>
      <c r="F9">
        <f t="shared" si="1"/>
        <v>275.14999999999998</v>
      </c>
      <c r="G9">
        <f t="shared" si="2"/>
        <v>7.1743772542911699E-2</v>
      </c>
      <c r="H9">
        <f t="shared" si="3"/>
        <v>2.8081346341222542E-7</v>
      </c>
      <c r="I9">
        <f t="shared" si="4"/>
        <v>2.5339014130362006E-11</v>
      </c>
      <c r="J9">
        <f t="shared" si="5"/>
        <v>3.564220535766202E-4</v>
      </c>
      <c r="K9">
        <f t="shared" si="6"/>
        <v>1.1759327724647006E-6</v>
      </c>
      <c r="L9">
        <f t="shared" si="7"/>
        <v>3.5008395583835958E-13</v>
      </c>
      <c r="M9">
        <f t="shared" si="8"/>
        <v>3.5759798669916885E-4</v>
      </c>
      <c r="N9" s="25">
        <f t="shared" si="9"/>
        <v>4967.9859441937697</v>
      </c>
      <c r="O9" s="28">
        <f t="shared" si="10"/>
        <v>12.419964860484423</v>
      </c>
      <c r="P9" s="1">
        <f t="shared" si="11"/>
        <v>4.2806288634552088</v>
      </c>
      <c r="U9" s="1"/>
      <c r="V9" s="1"/>
      <c r="W9" s="5"/>
      <c r="X9" s="25"/>
      <c r="AA9"/>
      <c r="AB9" s="1"/>
    </row>
    <row r="10" spans="1:28" ht="14" x14ac:dyDescent="0.15">
      <c r="A10" s="43" t="s">
        <v>96</v>
      </c>
      <c r="B10" s="31">
        <v>4.28</v>
      </c>
      <c r="C10">
        <f t="shared" si="0"/>
        <v>5.2480746024977172E-5</v>
      </c>
      <c r="D10">
        <f>DIC!O9</f>
        <v>2.8044823822964671E-4</v>
      </c>
      <c r="E10" s="31">
        <v>8.5362291666666703</v>
      </c>
      <c r="F10">
        <f t="shared" si="1"/>
        <v>281.68622916666664</v>
      </c>
      <c r="G10">
        <f t="shared" si="2"/>
        <v>5.6443693193751719E-2</v>
      </c>
      <c r="H10">
        <f t="shared" si="3"/>
        <v>3.3208323147108596E-7</v>
      </c>
      <c r="I10">
        <f t="shared" si="4"/>
        <v>3.1121249635600544E-11</v>
      </c>
      <c r="J10">
        <f t="shared" si="5"/>
        <v>2.7868479905391458E-4</v>
      </c>
      <c r="K10">
        <f t="shared" si="6"/>
        <v>1.7634381300076889E-6</v>
      </c>
      <c r="L10">
        <f t="shared" si="7"/>
        <v>1.0457244307233485E-12</v>
      </c>
      <c r="M10">
        <f t="shared" si="8"/>
        <v>2.8044823822964671E-4</v>
      </c>
      <c r="N10" s="25">
        <f t="shared" si="9"/>
        <v>4937.3948316472815</v>
      </c>
      <c r="O10" s="28">
        <f t="shared" si="10"/>
        <v>12.343487079118203</v>
      </c>
      <c r="P10" s="1">
        <f t="shared" si="11"/>
        <v>3.3470044366375142</v>
      </c>
      <c r="U10" s="1"/>
      <c r="V10" s="1"/>
      <c r="W10" s="5"/>
      <c r="X10" s="25"/>
      <c r="AA10"/>
      <c r="AB10" s="1"/>
    </row>
    <row r="11" spans="1:28" ht="14" x14ac:dyDescent="0.15">
      <c r="A11" s="43" t="s">
        <v>97</v>
      </c>
      <c r="B11" s="31">
        <v>4.0999999999999996</v>
      </c>
      <c r="C11">
        <f t="shared" si="0"/>
        <v>7.9432823472428153E-5</v>
      </c>
      <c r="D11">
        <f>DIC!O10</f>
        <v>3.1742568353915071E-4</v>
      </c>
      <c r="E11" s="31">
        <v>8.4494479166666707</v>
      </c>
      <c r="F11">
        <f t="shared" si="1"/>
        <v>281.59944791666663</v>
      </c>
      <c r="G11">
        <f t="shared" si="2"/>
        <v>5.6615110933477632E-2</v>
      </c>
      <c r="H11">
        <f t="shared" si="3"/>
        <v>3.3141129674704274E-7</v>
      </c>
      <c r="I11">
        <f t="shared" si="4"/>
        <v>3.1041754285391549E-11</v>
      </c>
      <c r="J11">
        <f t="shared" si="5"/>
        <v>3.1610681551958131E-4</v>
      </c>
      <c r="K11">
        <f t="shared" si="6"/>
        <v>1.3188675041657845E-6</v>
      </c>
      <c r="L11">
        <f t="shared" si="7"/>
        <v>5.1540357259883286E-13</v>
      </c>
      <c r="M11">
        <f t="shared" si="8"/>
        <v>3.1742568353915066E-4</v>
      </c>
      <c r="N11" s="25">
        <f t="shared" si="9"/>
        <v>5583.4354169332046</v>
      </c>
      <c r="O11" s="28">
        <f t="shared" si="10"/>
        <v>13.958588542333011</v>
      </c>
      <c r="P11" s="1">
        <f t="shared" si="11"/>
        <v>3.7964428543901714</v>
      </c>
      <c r="U11" s="1"/>
      <c r="V11" s="1"/>
      <c r="W11" s="5"/>
      <c r="X11" s="25"/>
      <c r="AA11"/>
      <c r="AB11" s="1"/>
    </row>
    <row r="12" spans="1:28" ht="14" x14ac:dyDescent="0.15">
      <c r="A12" s="43" t="s">
        <v>98</v>
      </c>
      <c r="B12" s="31">
        <v>4.29</v>
      </c>
      <c r="C12">
        <f t="shared" si="0"/>
        <v>5.12861383991364E-5</v>
      </c>
      <c r="D12">
        <f>DIC!O11</f>
        <v>1.352760610463078E-3</v>
      </c>
      <c r="E12" s="31">
        <v>2</v>
      </c>
      <c r="F12">
        <f t="shared" si="1"/>
        <v>275.14999999999998</v>
      </c>
      <c r="G12">
        <f t="shared" si="2"/>
        <v>7.1743772542911699E-2</v>
      </c>
      <c r="H12">
        <f t="shared" si="3"/>
        <v>2.8081346341222542E-7</v>
      </c>
      <c r="I12">
        <f t="shared" si="4"/>
        <v>2.5339014130362006E-11</v>
      </c>
      <c r="J12">
        <f t="shared" si="5"/>
        <v>1.3453940013242085E-3</v>
      </c>
      <c r="K12">
        <f t="shared" si="6"/>
        <v>7.3666054992404138E-6</v>
      </c>
      <c r="L12">
        <f t="shared" si="7"/>
        <v>3.6396290823330633E-12</v>
      </c>
      <c r="M12">
        <f t="shared" si="8"/>
        <v>1.352760610463078E-3</v>
      </c>
      <c r="N12" s="25">
        <f t="shared" si="9"/>
        <v>18752.76353107157</v>
      </c>
      <c r="O12" s="28">
        <f t="shared" si="10"/>
        <v>46.881908827678927</v>
      </c>
      <c r="P12" s="1">
        <f t="shared" si="11"/>
        <v>16.158181955903743</v>
      </c>
      <c r="U12" s="1"/>
      <c r="V12" s="1"/>
      <c r="W12" s="5"/>
      <c r="X12" s="25"/>
      <c r="AA12"/>
      <c r="AB12" s="1"/>
    </row>
    <row r="13" spans="1:28" ht="14" x14ac:dyDescent="0.15">
      <c r="A13" s="43" t="s">
        <v>99</v>
      </c>
      <c r="B13" s="31">
        <v>3.93</v>
      </c>
      <c r="C13">
        <f t="shared" si="0"/>
        <v>1.1748975549395278E-4</v>
      </c>
      <c r="D13">
        <f>DIC!O12</f>
        <v>2.3520128358882526E-4</v>
      </c>
      <c r="E13" s="31">
        <v>2</v>
      </c>
      <c r="F13">
        <f t="shared" si="1"/>
        <v>275.14999999999998</v>
      </c>
      <c r="G13">
        <f t="shared" si="2"/>
        <v>7.1743772542911699E-2</v>
      </c>
      <c r="H13">
        <f t="shared" si="3"/>
        <v>2.8081346341222542E-7</v>
      </c>
      <c r="I13">
        <f t="shared" si="4"/>
        <v>2.5339014130362006E-11</v>
      </c>
      <c r="J13">
        <f t="shared" si="5"/>
        <v>2.346404668937983E-4</v>
      </c>
      <c r="K13">
        <f t="shared" si="6"/>
        <v>5.6081657407569031E-7</v>
      </c>
      <c r="L13">
        <f t="shared" si="7"/>
        <v>1.2095130367154901E-13</v>
      </c>
      <c r="M13">
        <f t="shared" si="8"/>
        <v>2.3520128358882529E-4</v>
      </c>
      <c r="N13" s="25">
        <f t="shared" si="9"/>
        <v>3270.5342718554998</v>
      </c>
      <c r="O13" s="28">
        <f t="shared" si="10"/>
        <v>8.1763356796387487</v>
      </c>
      <c r="P13" s="1">
        <f t="shared" si="11"/>
        <v>2.8180320073945175</v>
      </c>
      <c r="U13" s="1"/>
      <c r="V13" s="1"/>
      <c r="W13" s="5"/>
      <c r="X13" s="25"/>
      <c r="AA13"/>
      <c r="AB13" s="1"/>
    </row>
    <row r="14" spans="1:28" ht="14" x14ac:dyDescent="0.15">
      <c r="A14" s="43" t="s">
        <v>100</v>
      </c>
      <c r="B14" s="31">
        <v>3.97</v>
      </c>
      <c r="C14">
        <f t="shared" si="0"/>
        <v>1.0715193052376051E-4</v>
      </c>
      <c r="D14">
        <f>DIC!O13</f>
        <v>1.6240651692255017E-3</v>
      </c>
      <c r="E14" s="31">
        <v>17.422916666666701</v>
      </c>
      <c r="F14">
        <f t="shared" si="1"/>
        <v>290.57291666666669</v>
      </c>
      <c r="G14">
        <f t="shared" si="2"/>
        <v>4.2226907487067498E-2</v>
      </c>
      <c r="H14">
        <f t="shared" si="3"/>
        <v>3.976905846668852E-7</v>
      </c>
      <c r="I14">
        <f t="shared" si="4"/>
        <v>3.9514999217307971E-11</v>
      </c>
      <c r="J14">
        <f t="shared" si="5"/>
        <v>1.6180597955446634E-3</v>
      </c>
      <c r="K14">
        <f t="shared" si="6"/>
        <v>6.0053714662046819E-6</v>
      </c>
      <c r="L14">
        <f t="shared" si="7"/>
        <v>2.2146334426900581E-12</v>
      </c>
      <c r="M14">
        <f t="shared" si="8"/>
        <v>1.6240651692255015E-3</v>
      </c>
      <c r="N14" s="25">
        <f t="shared" si="9"/>
        <v>38318.216791987754</v>
      </c>
      <c r="O14" s="28">
        <f t="shared" si="10"/>
        <v>95.795541979969386</v>
      </c>
      <c r="P14" s="1">
        <f t="shared" si="11"/>
        <v>19.432898144491407</v>
      </c>
      <c r="U14" s="1"/>
      <c r="V14" s="1"/>
      <c r="W14" s="5"/>
      <c r="X14" s="25"/>
      <c r="AA14"/>
      <c r="AB14" s="1"/>
    </row>
    <row r="15" spans="1:28" ht="14" x14ac:dyDescent="0.15">
      <c r="A15" s="43" t="s">
        <v>101</v>
      </c>
      <c r="B15" s="31">
        <v>4.17</v>
      </c>
      <c r="C15">
        <f t="shared" si="0"/>
        <v>6.7608297539198107E-5</v>
      </c>
      <c r="D15">
        <f>DIC!O14</f>
        <v>2.279771529549251E-4</v>
      </c>
      <c r="E15" s="31">
        <v>2</v>
      </c>
      <c r="F15">
        <f t="shared" si="1"/>
        <v>275.14999999999998</v>
      </c>
      <c r="G15">
        <f t="shared" si="2"/>
        <v>7.1743772542911699E-2</v>
      </c>
      <c r="H15">
        <f t="shared" si="3"/>
        <v>2.8081346341222542E-7</v>
      </c>
      <c r="I15">
        <f t="shared" si="4"/>
        <v>2.5339014130362006E-11</v>
      </c>
      <c r="J15">
        <f t="shared" si="5"/>
        <v>2.2703415816755461E-4</v>
      </c>
      <c r="K15">
        <f t="shared" si="6"/>
        <v>9.4299443394424177E-7</v>
      </c>
      <c r="L15">
        <f t="shared" si="7"/>
        <v>3.5342628281258261E-13</v>
      </c>
      <c r="M15">
        <f t="shared" si="8"/>
        <v>2.2797715295492512E-4</v>
      </c>
      <c r="N15" s="25">
        <f t="shared" si="9"/>
        <v>3164.5137984869693</v>
      </c>
      <c r="O15" s="28">
        <f t="shared" si="10"/>
        <v>7.9112844962174229</v>
      </c>
      <c r="P15" s="1">
        <f t="shared" si="11"/>
        <v>2.7266802395923309</v>
      </c>
      <c r="U15" s="1"/>
      <c r="V15" s="1"/>
      <c r="W15" s="5"/>
      <c r="X15" s="25"/>
      <c r="AA15"/>
      <c r="AB15" s="1"/>
    </row>
    <row r="16" spans="1:28" ht="14" x14ac:dyDescent="0.15">
      <c r="A16" s="43" t="s">
        <v>102</v>
      </c>
      <c r="B16" s="31">
        <v>3.99</v>
      </c>
      <c r="C16">
        <f t="shared" si="0"/>
        <v>1.0232929922807532E-4</v>
      </c>
      <c r="D16">
        <f>DIC!O15</f>
        <v>3.5354514990122634E-4</v>
      </c>
      <c r="E16" s="31">
        <v>12.3645833333333</v>
      </c>
      <c r="F16">
        <f t="shared" si="1"/>
        <v>285.51458333333329</v>
      </c>
      <c r="G16">
        <f t="shared" si="2"/>
        <v>4.9569383596102141E-2</v>
      </c>
      <c r="H16">
        <f t="shared" si="3"/>
        <v>3.6124256602563901E-7</v>
      </c>
      <c r="I16">
        <f t="shared" si="4"/>
        <v>3.4684690406298176E-11</v>
      </c>
      <c r="J16">
        <f t="shared" si="5"/>
        <v>3.5230145600243049E-4</v>
      </c>
      <c r="K16">
        <f t="shared" si="6"/>
        <v>1.2436934772438045E-6</v>
      </c>
      <c r="L16">
        <f t="shared" si="7"/>
        <v>4.2155202414108392E-13</v>
      </c>
      <c r="M16">
        <f t="shared" si="8"/>
        <v>3.5354514990122628E-4</v>
      </c>
      <c r="N16" s="25">
        <f t="shared" si="9"/>
        <v>7107.23899399333</v>
      </c>
      <c r="O16" s="28">
        <f t="shared" si="10"/>
        <v>17.768097484983326</v>
      </c>
      <c r="P16" s="1">
        <f t="shared" si="11"/>
        <v>4.2311404865891902</v>
      </c>
      <c r="U16" s="1"/>
      <c r="V16" s="1"/>
      <c r="W16" s="5"/>
      <c r="X16" s="25"/>
      <c r="AA16"/>
      <c r="AB16" s="1"/>
    </row>
    <row r="17" spans="1:28" ht="14" x14ac:dyDescent="0.15">
      <c r="A17" s="43" t="s">
        <v>103</v>
      </c>
      <c r="B17" s="31">
        <v>4.37</v>
      </c>
      <c r="C17">
        <f t="shared" si="0"/>
        <v>4.265795188015923E-5</v>
      </c>
      <c r="D17">
        <f>DIC!O16</f>
        <v>3.2748101633673835E-4</v>
      </c>
      <c r="E17" s="31">
        <v>2</v>
      </c>
      <c r="F17">
        <f t="shared" si="1"/>
        <v>275.14999999999998</v>
      </c>
      <c r="G17">
        <f t="shared" si="2"/>
        <v>7.1743772542911699E-2</v>
      </c>
      <c r="H17">
        <f t="shared" si="3"/>
        <v>2.8081346341222542E-7</v>
      </c>
      <c r="I17">
        <f t="shared" si="4"/>
        <v>2.5339014130362006E-11</v>
      </c>
      <c r="J17">
        <f t="shared" si="5"/>
        <v>3.25339335458597E-4</v>
      </c>
      <c r="K17">
        <f t="shared" si="6"/>
        <v>2.1416796059740745E-6</v>
      </c>
      <c r="L17">
        <f t="shared" si="7"/>
        <v>1.2721672608882562E-12</v>
      </c>
      <c r="M17">
        <f t="shared" si="8"/>
        <v>3.2748101633673835E-4</v>
      </c>
      <c r="N17" s="25">
        <f t="shared" si="9"/>
        <v>4534.7397262111308</v>
      </c>
      <c r="O17" s="28">
        <f t="shared" si="10"/>
        <v>11.336849315527827</v>
      </c>
      <c r="P17" s="1">
        <f t="shared" si="11"/>
        <v>3.90732541885775</v>
      </c>
      <c r="U17" s="1"/>
      <c r="V17" s="1"/>
      <c r="W17" s="5"/>
      <c r="X17" s="25"/>
      <c r="AA17"/>
      <c r="AB17" s="1"/>
    </row>
    <row r="18" spans="1:28" ht="14" x14ac:dyDescent="0.15">
      <c r="A18" s="43" t="s">
        <v>104</v>
      </c>
      <c r="B18" s="31">
        <v>4.0999999999999996</v>
      </c>
      <c r="C18">
        <f t="shared" si="0"/>
        <v>7.9432823472428153E-5</v>
      </c>
      <c r="D18">
        <f>DIC!O17</f>
        <v>2.9547287859577352E-4</v>
      </c>
      <c r="E18" s="31">
        <v>2</v>
      </c>
      <c r="F18">
        <f t="shared" si="1"/>
        <v>275.14999999999998</v>
      </c>
      <c r="G18">
        <f t="shared" si="2"/>
        <v>7.1743772542911699E-2</v>
      </c>
      <c r="H18">
        <f t="shared" si="3"/>
        <v>2.8081346341222542E-7</v>
      </c>
      <c r="I18">
        <f t="shared" si="4"/>
        <v>2.5339014130362006E-11</v>
      </c>
      <c r="J18">
        <f t="shared" si="5"/>
        <v>2.9443199284589041E-4</v>
      </c>
      <c r="K18">
        <f t="shared" si="6"/>
        <v>1.0408854178413686E-6</v>
      </c>
      <c r="L18">
        <f t="shared" si="7"/>
        <v>3.3204170716561779E-13</v>
      </c>
      <c r="M18">
        <f t="shared" si="8"/>
        <v>2.9547287859577347E-4</v>
      </c>
      <c r="N18" s="25">
        <f t="shared" si="9"/>
        <v>4103.9379783072245</v>
      </c>
      <c r="O18" s="28">
        <f t="shared" si="10"/>
        <v>10.25984494576806</v>
      </c>
      <c r="P18" s="1">
        <f t="shared" si="11"/>
        <v>3.5361282340791433</v>
      </c>
      <c r="U18" s="1"/>
      <c r="V18" s="1"/>
      <c r="W18" s="5"/>
      <c r="X18" s="25"/>
      <c r="AA18"/>
      <c r="AB18" s="1"/>
    </row>
    <row r="19" spans="1:28" ht="14" x14ac:dyDescent="0.15">
      <c r="A19" s="43" t="s">
        <v>105</v>
      </c>
      <c r="B19" s="31">
        <v>4.08</v>
      </c>
      <c r="C19">
        <f t="shared" si="0"/>
        <v>8.3176377110266955E-5</v>
      </c>
      <c r="D19">
        <f>DIC!O18</f>
        <v>2.3343483173412922E-4</v>
      </c>
      <c r="E19" s="31">
        <v>11.219687499999999</v>
      </c>
      <c r="F19">
        <f t="shared" si="1"/>
        <v>284.3696875</v>
      </c>
      <c r="G19">
        <f t="shared" si="2"/>
        <v>5.1491728692105526E-2</v>
      </c>
      <c r="H19">
        <f t="shared" si="3"/>
        <v>3.526347961370343E-7</v>
      </c>
      <c r="I19">
        <f t="shared" si="4"/>
        <v>3.3608402675061751E-11</v>
      </c>
      <c r="J19">
        <f t="shared" si="5"/>
        <v>2.3244933848403634E-4</v>
      </c>
      <c r="K19">
        <f t="shared" si="6"/>
        <v>9.8549285189278367E-7</v>
      </c>
      <c r="L19">
        <f t="shared" si="7"/>
        <v>3.9820008697781286E-13</v>
      </c>
      <c r="M19">
        <f t="shared" si="8"/>
        <v>2.3343483173412922E-4</v>
      </c>
      <c r="N19" s="25">
        <f t="shared" si="9"/>
        <v>4514.3044210841263</v>
      </c>
      <c r="O19" s="28">
        <f t="shared" si="10"/>
        <v>11.285761052710315</v>
      </c>
      <c r="P19" s="1">
        <f t="shared" si="11"/>
        <v>2.7917165551932763</v>
      </c>
      <c r="U19" s="1"/>
      <c r="V19" s="1"/>
      <c r="W19" s="5"/>
      <c r="X19" s="25"/>
      <c r="AA19"/>
      <c r="AB19" s="1"/>
    </row>
    <row r="20" spans="1:28" ht="14" x14ac:dyDescent="0.15">
      <c r="A20" s="43" t="s">
        <v>106</v>
      </c>
      <c r="B20" s="31">
        <v>4.18</v>
      </c>
      <c r="C20">
        <f t="shared" si="0"/>
        <v>6.6069344800759539E-5</v>
      </c>
      <c r="D20">
        <f>DIC!O19</f>
        <v>9.0121161322775131E-4</v>
      </c>
      <c r="E20" s="31">
        <v>2</v>
      </c>
      <c r="F20">
        <f t="shared" si="1"/>
        <v>275.14999999999998</v>
      </c>
      <c r="G20">
        <f t="shared" si="2"/>
        <v>7.1743772542911699E-2</v>
      </c>
      <c r="H20">
        <f t="shared" si="3"/>
        <v>2.8081346341222542E-7</v>
      </c>
      <c r="I20">
        <f t="shared" si="4"/>
        <v>2.5339014130362006E-11</v>
      </c>
      <c r="J20">
        <f t="shared" si="5"/>
        <v>8.9739741809021889E-4</v>
      </c>
      <c r="K20">
        <f t="shared" si="6"/>
        <v>3.8141936747071569E-6</v>
      </c>
      <c r="L20">
        <f t="shared" si="7"/>
        <v>1.4628252741236654E-12</v>
      </c>
      <c r="M20">
        <f t="shared" si="8"/>
        <v>9.0121161322775131E-4</v>
      </c>
      <c r="N20" s="25">
        <f t="shared" si="9"/>
        <v>12508.36673738426</v>
      </c>
      <c r="O20" s="28">
        <f t="shared" si="10"/>
        <v>31.27091684346065</v>
      </c>
      <c r="P20" s="1">
        <f t="shared" si="11"/>
        <v>10.777742991263528</v>
      </c>
      <c r="U20" s="1"/>
      <c r="V20" s="1"/>
      <c r="W20" s="5"/>
      <c r="X20" s="25"/>
      <c r="AA20"/>
      <c r="AB20" s="1"/>
    </row>
    <row r="21" spans="1:28" ht="14" x14ac:dyDescent="0.15">
      <c r="A21" s="43" t="s">
        <v>107</v>
      </c>
      <c r="B21" s="31">
        <v>3.99</v>
      </c>
      <c r="C21">
        <f t="shared" si="0"/>
        <v>1.0232929922807532E-4</v>
      </c>
      <c r="D21">
        <f>DIC!O20</f>
        <v>3.0682753209294883E-4</v>
      </c>
      <c r="E21" s="31">
        <v>13.2303125</v>
      </c>
      <c r="F21">
        <f t="shared" si="1"/>
        <v>286.3803125</v>
      </c>
      <c r="G21">
        <f t="shared" si="2"/>
        <v>4.8184739274933913E-2</v>
      </c>
      <c r="H21">
        <f t="shared" si="3"/>
        <v>3.6767484204818881E-7</v>
      </c>
      <c r="I21">
        <f t="shared" si="4"/>
        <v>3.5503600218806492E-11</v>
      </c>
      <c r="J21">
        <f t="shared" si="5"/>
        <v>3.057290303657019E-4</v>
      </c>
      <c r="K21">
        <f t="shared" si="6"/>
        <v>1.0985013461170523E-6</v>
      </c>
      <c r="L21">
        <f t="shared" si="7"/>
        <v>3.8112987117633131E-13</v>
      </c>
      <c r="M21">
        <f t="shared" si="8"/>
        <v>3.0682753209294883E-4</v>
      </c>
      <c r="N21" s="25">
        <f t="shared" si="9"/>
        <v>6344.9348272129091</v>
      </c>
      <c r="O21" s="28">
        <f t="shared" si="10"/>
        <v>15.862337068032273</v>
      </c>
      <c r="P21" s="1">
        <f t="shared" si="11"/>
        <v>3.6718056546920792</v>
      </c>
      <c r="U21" s="1"/>
      <c r="V21" s="1"/>
      <c r="W21" s="5"/>
      <c r="X21" s="25"/>
      <c r="AA21"/>
      <c r="AB21" s="1"/>
    </row>
    <row r="22" spans="1:28" ht="14" x14ac:dyDescent="0.15">
      <c r="A22" s="43" t="s">
        <v>108</v>
      </c>
      <c r="B22" s="31">
        <v>4.04</v>
      </c>
      <c r="C22">
        <f t="shared" si="0"/>
        <v>9.1201083935590923E-5</v>
      </c>
      <c r="D22">
        <f>DIC!O21</f>
        <v>2.5930712845946227E-4</v>
      </c>
      <c r="E22" s="31">
        <v>6.2139166666666696</v>
      </c>
      <c r="F22">
        <f t="shared" si="1"/>
        <v>279.36391666666663</v>
      </c>
      <c r="G22">
        <f t="shared" si="2"/>
        <v>6.1299897696248412E-2</v>
      </c>
      <c r="H22">
        <f t="shared" si="3"/>
        <v>3.139855781027457E-7</v>
      </c>
      <c r="I22">
        <f t="shared" si="4"/>
        <v>2.9016982727069382E-11</v>
      </c>
      <c r="J22">
        <f t="shared" si="5"/>
        <v>2.5841745285866934E-4</v>
      </c>
      <c r="K22">
        <f t="shared" si="6"/>
        <v>8.8967531772946357E-7</v>
      </c>
      <c r="L22">
        <f t="shared" si="7"/>
        <v>2.8306344851655121E-13</v>
      </c>
      <c r="M22">
        <f t="shared" si="8"/>
        <v>2.5930712845946227E-4</v>
      </c>
      <c r="N22" s="25">
        <f t="shared" si="9"/>
        <v>4215.626168565117</v>
      </c>
      <c r="O22" s="28">
        <f t="shared" si="10"/>
        <v>10.539065421412793</v>
      </c>
      <c r="P22" s="1">
        <f t="shared" si="11"/>
        <v>3.103593608832619</v>
      </c>
      <c r="U22" s="1"/>
      <c r="V22" s="1"/>
      <c r="W22" s="5"/>
      <c r="X22" s="25"/>
      <c r="AA22"/>
      <c r="AB22" s="1"/>
    </row>
    <row r="23" spans="1:28" ht="14" x14ac:dyDescent="0.15">
      <c r="A23" s="43" t="s">
        <v>109</v>
      </c>
      <c r="B23" s="31">
        <v>3.84</v>
      </c>
      <c r="C23">
        <f t="shared" si="0"/>
        <v>1.4454397707459266E-4</v>
      </c>
      <c r="D23">
        <f>DIC!O22</f>
        <v>1.6105490472904135E-3</v>
      </c>
      <c r="E23" s="31">
        <v>14.093958333333299</v>
      </c>
      <c r="F23">
        <f t="shared" si="1"/>
        <v>287.2439583333333</v>
      </c>
      <c r="G23">
        <f t="shared" si="2"/>
        <v>4.6859420497275719E-2</v>
      </c>
      <c r="H23">
        <f t="shared" si="3"/>
        <v>3.7401924803552306E-7</v>
      </c>
      <c r="I23">
        <f t="shared" si="4"/>
        <v>3.632436322673404E-11</v>
      </c>
      <c r="J23">
        <f t="shared" si="5"/>
        <v>1.6063923758633586E-3</v>
      </c>
      <c r="K23">
        <f t="shared" si="6"/>
        <v>4.1566703824701989E-6</v>
      </c>
      <c r="L23">
        <f t="shared" si="7"/>
        <v>1.0445845468105301E-12</v>
      </c>
      <c r="M23">
        <f t="shared" si="8"/>
        <v>1.6105490472904133E-3</v>
      </c>
      <c r="N23" s="25">
        <f t="shared" si="9"/>
        <v>34281.097777484247</v>
      </c>
      <c r="O23" s="28">
        <f t="shared" si="10"/>
        <v>85.702744443710614</v>
      </c>
      <c r="P23" s="1">
        <f t="shared" si="11"/>
        <v>19.292772434118934</v>
      </c>
      <c r="U23" s="1"/>
      <c r="V23" s="1"/>
      <c r="W23" s="5"/>
      <c r="X23" s="25"/>
      <c r="AA23"/>
      <c r="AB23" s="1"/>
    </row>
    <row r="24" spans="1:28" ht="14" x14ac:dyDescent="0.15">
      <c r="A24" s="43" t="s">
        <v>110</v>
      </c>
      <c r="B24" s="31">
        <v>4.2300000000000004</v>
      </c>
      <c r="C24">
        <f t="shared" si="0"/>
        <v>5.8884365535558766E-5</v>
      </c>
      <c r="D24">
        <f>DIC!O23</f>
        <v>2.16745352009128E-4</v>
      </c>
      <c r="E24" s="31">
        <v>2</v>
      </c>
      <c r="F24">
        <f t="shared" si="1"/>
        <v>275.14999999999998</v>
      </c>
      <c r="G24">
        <f t="shared" si="2"/>
        <v>7.1743772542911699E-2</v>
      </c>
      <c r="H24">
        <f t="shared" si="3"/>
        <v>2.8081346341222542E-7</v>
      </c>
      <c r="I24">
        <f t="shared" si="4"/>
        <v>2.5339014130362006E-11</v>
      </c>
      <c r="J24">
        <f t="shared" si="5"/>
        <v>2.1571662125781472E-4</v>
      </c>
      <c r="K24">
        <f t="shared" si="6"/>
        <v>1.0287303086319213E-6</v>
      </c>
      <c r="L24">
        <f t="shared" si="7"/>
        <v>4.4268137373433563E-13</v>
      </c>
      <c r="M24">
        <f t="shared" si="8"/>
        <v>2.1674535200912802E-4</v>
      </c>
      <c r="N24" s="25">
        <f t="shared" si="9"/>
        <v>3006.7644007539379</v>
      </c>
      <c r="O24" s="28">
        <f t="shared" si="10"/>
        <v>7.5169110018848446</v>
      </c>
      <c r="P24" s="1">
        <f t="shared" si="11"/>
        <v>2.5907566213063546</v>
      </c>
      <c r="U24" s="1"/>
      <c r="V24" s="1"/>
      <c r="W24" s="5"/>
      <c r="X24" s="25"/>
      <c r="AA24"/>
      <c r="AB24" s="1"/>
    </row>
    <row r="25" spans="1:28" ht="14" x14ac:dyDescent="0.15">
      <c r="A25" s="43" t="s">
        <v>111</v>
      </c>
      <c r="B25" s="31">
        <v>3.95</v>
      </c>
      <c r="C25">
        <f t="shared" si="0"/>
        <v>1.1220184543019618E-4</v>
      </c>
      <c r="D25">
        <f>DIC!O24</f>
        <v>3.4111590834781007E-4</v>
      </c>
      <c r="E25" s="31">
        <v>2</v>
      </c>
      <c r="F25">
        <f t="shared" si="1"/>
        <v>275.14999999999998</v>
      </c>
      <c r="G25">
        <f t="shared" si="2"/>
        <v>7.1743772542911699E-2</v>
      </c>
      <c r="H25">
        <f t="shared" si="3"/>
        <v>2.8081346341222542E-7</v>
      </c>
      <c r="I25">
        <f t="shared" si="4"/>
        <v>2.5339014130362006E-11</v>
      </c>
      <c r="J25">
        <f t="shared" si="5"/>
        <v>3.4026431075784378E-4</v>
      </c>
      <c r="K25">
        <f t="shared" si="6"/>
        <v>8.5159739764644624E-7</v>
      </c>
      <c r="L25">
        <f t="shared" si="7"/>
        <v>1.9231981799949513E-13</v>
      </c>
      <c r="M25">
        <f t="shared" si="8"/>
        <v>3.4111590834781002E-4</v>
      </c>
      <c r="N25" s="25">
        <f t="shared" si="9"/>
        <v>4742.7713750949388</v>
      </c>
      <c r="O25" s="28">
        <f t="shared" si="10"/>
        <v>11.856928437737347</v>
      </c>
      <c r="P25" s="1">
        <f t="shared" si="11"/>
        <v>4.0865743722017038</v>
      </c>
      <c r="U25" s="1"/>
      <c r="V25" s="1"/>
      <c r="W25" s="5"/>
      <c r="X25" s="25"/>
      <c r="AA25"/>
      <c r="AB25" s="1"/>
    </row>
    <row r="26" spans="1:28" ht="14" x14ac:dyDescent="0.15">
      <c r="A26" s="43" t="s">
        <v>112</v>
      </c>
      <c r="B26" s="31">
        <v>3.95</v>
      </c>
      <c r="C26">
        <f t="shared" si="0"/>
        <v>1.1220184543019618E-4</v>
      </c>
      <c r="D26">
        <f>DIC!O25</f>
        <v>2.8013984560636455E-4</v>
      </c>
      <c r="E26" s="31">
        <v>2</v>
      </c>
      <c r="F26">
        <f t="shared" si="1"/>
        <v>275.14999999999998</v>
      </c>
      <c r="G26">
        <f t="shared" si="2"/>
        <v>7.1743772542911699E-2</v>
      </c>
      <c r="H26">
        <f t="shared" si="3"/>
        <v>2.8081346341222542E-7</v>
      </c>
      <c r="I26">
        <f t="shared" si="4"/>
        <v>2.5339014130362006E-11</v>
      </c>
      <c r="J26">
        <f t="shared" si="5"/>
        <v>2.7944047506534405E-4</v>
      </c>
      <c r="K26">
        <f t="shared" si="6"/>
        <v>6.9937038307873114E-7</v>
      </c>
      <c r="L26">
        <f t="shared" si="7"/>
        <v>1.5794175177104012E-13</v>
      </c>
      <c r="M26">
        <f t="shared" si="8"/>
        <v>2.8013984560636455E-4</v>
      </c>
      <c r="N26" s="25">
        <f t="shared" si="9"/>
        <v>3894.9788275798278</v>
      </c>
      <c r="O26" s="28">
        <f t="shared" si="10"/>
        <v>9.7374470689495691</v>
      </c>
      <c r="P26" s="1">
        <f t="shared" si="11"/>
        <v>3.3560801055347818</v>
      </c>
      <c r="U26" s="1"/>
      <c r="V26" s="1"/>
      <c r="W26" s="5"/>
      <c r="X26" s="25"/>
      <c r="AA26"/>
      <c r="AB26" s="1"/>
    </row>
    <row r="27" spans="1:28" ht="14" x14ac:dyDescent="0.15">
      <c r="A27" s="43" t="s">
        <v>113</v>
      </c>
      <c r="B27" s="31">
        <v>3.98</v>
      </c>
      <c r="C27">
        <f t="shared" si="0"/>
        <v>1.0471285480508985E-4</v>
      </c>
      <c r="D27">
        <f>DIC!O26</f>
        <v>4.2788800541814002E-4</v>
      </c>
      <c r="E27" s="31">
        <v>9.5078125</v>
      </c>
      <c r="F27">
        <f t="shared" si="1"/>
        <v>282.65781249999998</v>
      </c>
      <c r="G27">
        <f t="shared" si="2"/>
        <v>5.4574393922993833E-2</v>
      </c>
      <c r="H27">
        <f t="shared" si="3"/>
        <v>3.3957759799746477E-7</v>
      </c>
      <c r="I27">
        <f t="shared" si="4"/>
        <v>3.2015467749619897E-11</v>
      </c>
      <c r="J27">
        <f t="shared" si="5"/>
        <v>4.265048748989356E-4</v>
      </c>
      <c r="K27">
        <f t="shared" si="6"/>
        <v>1.3831300963188887E-6</v>
      </c>
      <c r="L27">
        <f t="shared" si="7"/>
        <v>4.2288558625061589E-13</v>
      </c>
      <c r="M27">
        <f t="shared" si="8"/>
        <v>4.2788800541814008E-4</v>
      </c>
      <c r="N27" s="25">
        <f t="shared" si="9"/>
        <v>7815.1096922990519</v>
      </c>
      <c r="O27" s="28">
        <f t="shared" si="10"/>
        <v>19.53777423074763</v>
      </c>
      <c r="P27" s="1">
        <f t="shared" si="11"/>
        <v>5.122323547536217</v>
      </c>
      <c r="U27" s="1"/>
      <c r="V27" s="1"/>
      <c r="W27" s="5"/>
      <c r="X27" s="25"/>
      <c r="AA27"/>
      <c r="AB27" s="1"/>
    </row>
    <row r="28" spans="1:28" ht="14" x14ac:dyDescent="0.15">
      <c r="A28" s="43" t="s">
        <v>114</v>
      </c>
      <c r="B28" s="31">
        <v>4.21</v>
      </c>
      <c r="C28">
        <f t="shared" si="0"/>
        <v>6.1659500186148184E-5</v>
      </c>
      <c r="D28">
        <f>DIC!O27</f>
        <v>4.0091509367866585E-4</v>
      </c>
      <c r="E28" s="31">
        <v>7.38905208333333</v>
      </c>
      <c r="F28">
        <f t="shared" si="1"/>
        <v>280.53905208333333</v>
      </c>
      <c r="G28">
        <f t="shared" si="2"/>
        <v>5.8771222678269348E-2</v>
      </c>
      <c r="H28">
        <f t="shared" si="3"/>
        <v>3.2317125794704844E-7</v>
      </c>
      <c r="I28">
        <f t="shared" si="4"/>
        <v>3.007564112329134E-11</v>
      </c>
      <c r="J28">
        <f t="shared" si="5"/>
        <v>3.9882476270383898E-4</v>
      </c>
      <c r="K28">
        <f t="shared" si="6"/>
        <v>2.0903299552270388E-6</v>
      </c>
      <c r="L28">
        <f t="shared" si="7"/>
        <v>1.0195997919684302E-12</v>
      </c>
      <c r="M28">
        <f t="shared" si="8"/>
        <v>4.009150936786658E-4</v>
      </c>
      <c r="N28" s="25">
        <f t="shared" si="9"/>
        <v>6786.0552244611445</v>
      </c>
      <c r="O28" s="28">
        <f t="shared" si="10"/>
        <v>16.96513806115286</v>
      </c>
      <c r="P28" s="1">
        <f t="shared" si="11"/>
        <v>4.7898854000731061</v>
      </c>
      <c r="U28" s="1"/>
      <c r="V28" s="1"/>
      <c r="W28" s="5"/>
      <c r="X28" s="25"/>
      <c r="AA28"/>
      <c r="AB28" s="1"/>
    </row>
    <row r="29" spans="1:28" ht="14" x14ac:dyDescent="0.15">
      <c r="A29" s="43" t="s">
        <v>115</v>
      </c>
      <c r="B29" s="31">
        <v>4.1399999999999997</v>
      </c>
      <c r="C29">
        <f t="shared" si="0"/>
        <v>7.2443596007499048E-5</v>
      </c>
      <c r="D29">
        <f>DIC!O28</f>
        <v>2.6418783538964855E-4</v>
      </c>
      <c r="E29" s="31">
        <v>11.219687499999999</v>
      </c>
      <c r="F29">
        <f t="shared" si="1"/>
        <v>284.3696875</v>
      </c>
      <c r="G29">
        <f t="shared" si="2"/>
        <v>5.1491728692105526E-2</v>
      </c>
      <c r="H29">
        <f t="shared" si="3"/>
        <v>3.526347961370343E-7</v>
      </c>
      <c r="I29">
        <f t="shared" si="4"/>
        <v>3.3608402675061751E-11</v>
      </c>
      <c r="J29">
        <f t="shared" si="5"/>
        <v>2.6290807316217061E-4</v>
      </c>
      <c r="K29">
        <f t="shared" si="6"/>
        <v>1.2797616337643641E-6</v>
      </c>
      <c r="L29">
        <f t="shared" si="7"/>
        <v>5.9371354662177957E-13</v>
      </c>
      <c r="M29">
        <f t="shared" si="8"/>
        <v>2.6418783538964855E-4</v>
      </c>
      <c r="N29" s="25">
        <f t="shared" si="9"/>
        <v>5105.8311662874594</v>
      </c>
      <c r="O29" s="28">
        <f t="shared" si="10"/>
        <v>12.764577915718649</v>
      </c>
      <c r="P29" s="1">
        <f t="shared" si="11"/>
        <v>3.1575259586776694</v>
      </c>
      <c r="U29" s="1"/>
      <c r="V29" s="1"/>
      <c r="W29" s="5"/>
      <c r="X29" s="25"/>
      <c r="AA29"/>
      <c r="AB29" s="1"/>
    </row>
    <row r="30" spans="1:28" ht="14" x14ac:dyDescent="0.15">
      <c r="A30" s="43" t="s">
        <v>116</v>
      </c>
      <c r="B30" s="31">
        <v>4.2300000000000004</v>
      </c>
      <c r="C30">
        <f t="shared" si="0"/>
        <v>5.8884365535558766E-5</v>
      </c>
      <c r="D30">
        <f>DIC!O29</f>
        <v>4.0860818749543907E-4</v>
      </c>
      <c r="E30" s="31">
        <v>5.6082812500000001</v>
      </c>
      <c r="F30">
        <f t="shared" si="1"/>
        <v>278.75828124999998</v>
      </c>
      <c r="G30">
        <f t="shared" si="2"/>
        <v>6.2663663310039239E-2</v>
      </c>
      <c r="H30">
        <f t="shared" si="3"/>
        <v>3.0923423494787553E-7</v>
      </c>
      <c r="I30">
        <f t="shared" si="4"/>
        <v>2.8476615729370921E-11</v>
      </c>
      <c r="J30">
        <f t="shared" si="5"/>
        <v>4.0647356987579566E-4</v>
      </c>
      <c r="K30">
        <f t="shared" si="6"/>
        <v>2.1346165873379272E-6</v>
      </c>
      <c r="L30">
        <f t="shared" si="7"/>
        <v>1.0323055319404907E-12</v>
      </c>
      <c r="M30">
        <f t="shared" si="8"/>
        <v>4.0860818749543913E-4</v>
      </c>
      <c r="N30" s="25">
        <f t="shared" si="9"/>
        <v>6486.591246105384</v>
      </c>
      <c r="O30" s="28">
        <f t="shared" si="10"/>
        <v>16.21647811526346</v>
      </c>
      <c r="P30" s="1">
        <f t="shared" si="11"/>
        <v>4.8817475742083056</v>
      </c>
      <c r="U30" s="1"/>
      <c r="V30" s="1"/>
      <c r="W30" s="5"/>
      <c r="X30" s="25"/>
      <c r="AA30"/>
      <c r="AB30" s="1"/>
    </row>
    <row r="31" spans="1:28" ht="14" x14ac:dyDescent="0.15">
      <c r="A31" s="43" t="s">
        <v>117</v>
      </c>
      <c r="B31" s="31">
        <v>4.0599999999999996</v>
      </c>
      <c r="C31">
        <f t="shared" si="0"/>
        <v>8.7096358995608029E-5</v>
      </c>
      <c r="D31">
        <f>DIC!O30</f>
        <v>3.1157029957932077E-4</v>
      </c>
      <c r="E31" s="31">
        <v>10.7601041666667</v>
      </c>
      <c r="F31">
        <f t="shared" si="1"/>
        <v>283.91010416666666</v>
      </c>
      <c r="G31">
        <f t="shared" si="2"/>
        <v>5.2294037379951072E-2</v>
      </c>
      <c r="H31">
        <f t="shared" si="3"/>
        <v>3.4914986759939156E-7</v>
      </c>
      <c r="I31">
        <f t="shared" si="4"/>
        <v>3.3178719088324193E-11</v>
      </c>
      <c r="J31">
        <f t="shared" si="5"/>
        <v>3.1032627033716176E-4</v>
      </c>
      <c r="K31">
        <f t="shared" si="6"/>
        <v>1.2440287682553614E-6</v>
      </c>
      <c r="L31">
        <f t="shared" si="7"/>
        <v>4.7390363404077502E-13</v>
      </c>
      <c r="M31">
        <f t="shared" si="8"/>
        <v>3.1157029957932077E-4</v>
      </c>
      <c r="N31" s="25">
        <f t="shared" si="9"/>
        <v>5934.257247770608</v>
      </c>
      <c r="O31" s="28">
        <f t="shared" si="10"/>
        <v>14.835643119426519</v>
      </c>
      <c r="P31" s="1">
        <f t="shared" si="11"/>
        <v>3.7270185067493125</v>
      </c>
      <c r="U31" s="1"/>
      <c r="V31" s="1"/>
      <c r="W31" s="5"/>
      <c r="X31" s="25"/>
      <c r="AA31"/>
      <c r="AB31" s="1"/>
    </row>
    <row r="32" spans="1:28" ht="14" x14ac:dyDescent="0.15">
      <c r="A32" s="43" t="s">
        <v>118</v>
      </c>
      <c r="B32" s="31">
        <v>4.26</v>
      </c>
      <c r="C32">
        <f t="shared" si="0"/>
        <v>5.4954087385762447E-5</v>
      </c>
      <c r="D32">
        <f>DIC!O31</f>
        <v>3.6821944495737903E-4</v>
      </c>
      <c r="E32" s="31">
        <v>8.2342916666666692</v>
      </c>
      <c r="F32">
        <f t="shared" si="1"/>
        <v>281.38429166666663</v>
      </c>
      <c r="G32">
        <f t="shared" si="2"/>
        <v>5.7043336234786371E-2</v>
      </c>
      <c r="H32">
        <f t="shared" si="3"/>
        <v>3.2974370702650725E-7</v>
      </c>
      <c r="I32">
        <f t="shared" si="4"/>
        <v>3.0844936668056776E-11</v>
      </c>
      <c r="J32">
        <f t="shared" si="5"/>
        <v>3.6602317689629968E-4</v>
      </c>
      <c r="K32">
        <f t="shared" si="6"/>
        <v>2.1962668283465E-6</v>
      </c>
      <c r="L32">
        <f t="shared" si="7"/>
        <v>1.2327328948429194E-12</v>
      </c>
      <c r="M32">
        <f t="shared" si="8"/>
        <v>3.6821944495737908E-4</v>
      </c>
      <c r="N32" s="25">
        <f t="shared" si="9"/>
        <v>6416.580814799715</v>
      </c>
      <c r="O32" s="28">
        <f t="shared" si="10"/>
        <v>16.041452036999289</v>
      </c>
      <c r="P32" s="1">
        <f t="shared" si="11"/>
        <v>4.3959383545245592</v>
      </c>
      <c r="U32" s="1"/>
      <c r="V32" s="1"/>
      <c r="W32" s="5"/>
      <c r="X32" s="25"/>
      <c r="AA32"/>
      <c r="AB32" s="1"/>
    </row>
    <row r="33" spans="1:28" ht="14" x14ac:dyDescent="0.15">
      <c r="A33" s="43" t="s">
        <v>119</v>
      </c>
      <c r="B33" s="31">
        <v>4.12</v>
      </c>
      <c r="C33">
        <f t="shared" si="0"/>
        <v>7.5857757502918263E-5</v>
      </c>
      <c r="D33">
        <f>DIC!O32</f>
        <v>7.5881879919991705E-4</v>
      </c>
      <c r="E33" s="31">
        <v>14.88625</v>
      </c>
      <c r="F33">
        <f t="shared" si="1"/>
        <v>288.03625</v>
      </c>
      <c r="G33">
        <f t="shared" si="2"/>
        <v>4.5690478781347958E-2</v>
      </c>
      <c r="H33">
        <f t="shared" si="3"/>
        <v>3.7977082567196447E-7</v>
      </c>
      <c r="I33">
        <f t="shared" si="4"/>
        <v>3.7080267902080778E-11</v>
      </c>
      <c r="J33">
        <f t="shared" si="5"/>
        <v>7.5503880543059383E-4</v>
      </c>
      <c r="K33">
        <f t="shared" si="6"/>
        <v>3.7799919216135458E-6</v>
      </c>
      <c r="L33">
        <f t="shared" si="7"/>
        <v>1.8477096836897571E-12</v>
      </c>
      <c r="M33">
        <f t="shared" si="8"/>
        <v>7.5881879919991705E-4</v>
      </c>
      <c r="N33" s="25">
        <f t="shared" si="9"/>
        <v>16525.079744597035</v>
      </c>
      <c r="O33" s="28">
        <f t="shared" si="10"/>
        <v>41.312699361492584</v>
      </c>
      <c r="P33" s="1">
        <f t="shared" si="11"/>
        <v>9.0680160532214327</v>
      </c>
      <c r="U33" s="1"/>
      <c r="V33" s="1"/>
      <c r="W33" s="5"/>
      <c r="X33" s="25"/>
      <c r="AA33"/>
      <c r="AB33" s="1"/>
    </row>
    <row r="34" spans="1:28" ht="14" x14ac:dyDescent="0.15">
      <c r="A34" s="43" t="s">
        <v>120</v>
      </c>
      <c r="B34" s="31">
        <v>4.1500000000000004</v>
      </c>
      <c r="C34">
        <f t="shared" si="0"/>
        <v>7.0794578438413704E-5</v>
      </c>
      <c r="D34">
        <f>DIC!O33</f>
        <v>2.1957279668674388E-4</v>
      </c>
      <c r="E34" s="31">
        <v>7.6369479166666698</v>
      </c>
      <c r="F34">
        <f t="shared" si="1"/>
        <v>280.78694791666663</v>
      </c>
      <c r="G34">
        <f t="shared" si="2"/>
        <v>5.8256801645800299E-2</v>
      </c>
      <c r="H34">
        <f t="shared" si="3"/>
        <v>3.2510218894534405E-7</v>
      </c>
      <c r="I34">
        <f t="shared" si="4"/>
        <v>3.0300606439398298E-11</v>
      </c>
      <c r="J34">
        <f t="shared" si="5"/>
        <v>2.1856908538462504E-4</v>
      </c>
      <c r="K34">
        <f t="shared" si="6"/>
        <v>1.0037108725230738E-6</v>
      </c>
      <c r="L34">
        <f t="shared" si="7"/>
        <v>4.2959572326183061E-13</v>
      </c>
      <c r="M34">
        <f t="shared" si="8"/>
        <v>2.1957279668674386E-4</v>
      </c>
      <c r="N34" s="25">
        <f t="shared" si="9"/>
        <v>3751.8208897480999</v>
      </c>
      <c r="O34" s="28">
        <f t="shared" si="10"/>
        <v>9.3795522243702507</v>
      </c>
      <c r="P34" s="1">
        <f t="shared" si="11"/>
        <v>2.6250147154693466</v>
      </c>
      <c r="U34" s="1"/>
      <c r="V34" s="1"/>
      <c r="W34" s="5"/>
      <c r="X34" s="25"/>
      <c r="AA34"/>
      <c r="AB34" s="1"/>
    </row>
    <row r="35" spans="1:28" ht="14" x14ac:dyDescent="0.15">
      <c r="A35" s="43" t="s">
        <v>121</v>
      </c>
      <c r="B35" s="31">
        <v>4.16</v>
      </c>
      <c r="C35">
        <f t="shared" si="0"/>
        <v>6.9183097091893571E-5</v>
      </c>
      <c r="D35">
        <f>DIC!O34</f>
        <v>2.5988566052036931E-4</v>
      </c>
      <c r="E35" s="31">
        <v>2</v>
      </c>
      <c r="F35">
        <f t="shared" si="1"/>
        <v>275.14999999999998</v>
      </c>
      <c r="G35">
        <f t="shared" si="2"/>
        <v>7.1743772542911699E-2</v>
      </c>
      <c r="H35">
        <f t="shared" si="3"/>
        <v>2.8081346341222542E-7</v>
      </c>
      <c r="I35">
        <f t="shared" si="4"/>
        <v>2.5339014130362006E-11</v>
      </c>
      <c r="J35">
        <f t="shared" si="5"/>
        <v>2.5883505138449032E-4</v>
      </c>
      <c r="K35">
        <f t="shared" si="6"/>
        <v>1.0506087510828818E-6</v>
      </c>
      <c r="L35">
        <f t="shared" si="7"/>
        <v>3.8479615842885481E-13</v>
      </c>
      <c r="M35">
        <f t="shared" si="8"/>
        <v>2.5988566052036937E-4</v>
      </c>
      <c r="N35" s="25">
        <f t="shared" si="9"/>
        <v>3607.7702943440113</v>
      </c>
      <c r="O35" s="28">
        <f t="shared" si="10"/>
        <v>9.0194257358600289</v>
      </c>
      <c r="P35" s="1">
        <f t="shared" si="11"/>
        <v>3.1086089671277284</v>
      </c>
      <c r="U35" s="1"/>
      <c r="V35" s="1"/>
      <c r="W35" s="5"/>
      <c r="X35" s="25"/>
      <c r="AA35"/>
      <c r="AB35" s="1"/>
    </row>
    <row r="36" spans="1:28" ht="14" x14ac:dyDescent="0.15">
      <c r="A36" s="43" t="s">
        <v>122</v>
      </c>
      <c r="B36" s="31">
        <v>3.94</v>
      </c>
      <c r="C36">
        <f t="shared" si="0"/>
        <v>1.148153621496881E-4</v>
      </c>
      <c r="D36">
        <f>DIC!O35</f>
        <v>1.7875464456447911E-3</v>
      </c>
      <c r="E36" s="31">
        <v>9.7107708333333296</v>
      </c>
      <c r="F36">
        <f t="shared" si="1"/>
        <v>282.86077083333333</v>
      </c>
      <c r="G36">
        <f t="shared" si="2"/>
        <v>5.4195179748392074E-2</v>
      </c>
      <c r="H36">
        <f t="shared" si="3"/>
        <v>3.4113605038010017E-7</v>
      </c>
      <c r="I36">
        <f t="shared" si="4"/>
        <v>3.2203206862933819E-11</v>
      </c>
      <c r="J36">
        <f t="shared" si="5"/>
        <v>1.7822510718326523E-3</v>
      </c>
      <c r="K36">
        <f t="shared" si="6"/>
        <v>5.2953723269020138E-6</v>
      </c>
      <c r="L36">
        <f t="shared" si="7"/>
        <v>1.4852365333931406E-12</v>
      </c>
      <c r="M36">
        <f t="shared" si="8"/>
        <v>1.7875464456447909E-3</v>
      </c>
      <c r="N36" s="25">
        <f t="shared" si="9"/>
        <v>32885.785785875734</v>
      </c>
      <c r="O36" s="28">
        <f t="shared" si="10"/>
        <v>82.214464464689343</v>
      </c>
      <c r="P36" s="1">
        <f t="shared" si="11"/>
        <v>21.404835372710153</v>
      </c>
      <c r="U36" s="1"/>
      <c r="V36" s="1"/>
      <c r="W36" s="5"/>
      <c r="X36" s="25"/>
      <c r="AA36"/>
      <c r="AB36" s="1"/>
    </row>
    <row r="37" spans="1:28" ht="14" x14ac:dyDescent="0.15">
      <c r="A37" s="43" t="s">
        <v>123</v>
      </c>
      <c r="B37" s="31">
        <v>3.99</v>
      </c>
      <c r="C37">
        <f t="shared" si="0"/>
        <v>1.0232929922807532E-4</v>
      </c>
      <c r="D37">
        <f>DIC!O36</f>
        <v>1.2354895643731129E-3</v>
      </c>
      <c r="E37" s="31">
        <v>11.616354166666699</v>
      </c>
      <c r="F37">
        <f t="shared" si="1"/>
        <v>284.7663541666667</v>
      </c>
      <c r="G37">
        <f t="shared" si="2"/>
        <v>5.0813573984462311E-2</v>
      </c>
      <c r="H37">
        <f t="shared" si="3"/>
        <v>3.5562940429351812E-7</v>
      </c>
      <c r="I37">
        <f t="shared" si="4"/>
        <v>3.3980379300947643E-11</v>
      </c>
      <c r="J37">
        <f t="shared" si="5"/>
        <v>1.2312106836353189E-3</v>
      </c>
      <c r="K37">
        <f t="shared" si="6"/>
        <v>4.2788793169113462E-6</v>
      </c>
      <c r="L37">
        <f t="shared" si="7"/>
        <v>1.4208828094049485E-12</v>
      </c>
      <c r="M37">
        <f t="shared" si="8"/>
        <v>1.2354895643731129E-3</v>
      </c>
      <c r="N37" s="25">
        <f t="shared" si="9"/>
        <v>24229.956428803773</v>
      </c>
      <c r="O37" s="28">
        <f t="shared" si="10"/>
        <v>60.574891072009429</v>
      </c>
      <c r="P37" s="1">
        <f t="shared" si="11"/>
        <v>14.78684031046018</v>
      </c>
      <c r="U37" s="1"/>
      <c r="V37" s="1"/>
      <c r="W37" s="5"/>
      <c r="X37" s="25"/>
      <c r="AA37"/>
      <c r="AB37" s="1"/>
    </row>
    <row r="38" spans="1:28" ht="14" x14ac:dyDescent="0.15">
      <c r="A38" s="43" t="s">
        <v>124</v>
      </c>
      <c r="B38" s="31">
        <v>4.1100000000000003</v>
      </c>
      <c r="C38">
        <f t="shared" si="0"/>
        <v>7.7624711662869057E-5</v>
      </c>
      <c r="D38">
        <f>DIC!O37</f>
        <v>2.8270512232862131E-4</v>
      </c>
      <c r="E38" s="31">
        <v>2</v>
      </c>
      <c r="F38">
        <f t="shared" si="1"/>
        <v>275.14999999999998</v>
      </c>
      <c r="G38">
        <f t="shared" si="2"/>
        <v>7.1743772542911699E-2</v>
      </c>
      <c r="H38">
        <f t="shared" si="3"/>
        <v>2.8081346341222542E-7</v>
      </c>
      <c r="I38">
        <f t="shared" si="4"/>
        <v>2.5339014130362006E-11</v>
      </c>
      <c r="J38">
        <f t="shared" si="5"/>
        <v>2.8168610050420263E-4</v>
      </c>
      <c r="K38">
        <f t="shared" si="6"/>
        <v>1.0190214917797445E-6</v>
      </c>
      <c r="L38">
        <f t="shared" si="7"/>
        <v>3.3263891647665485E-13</v>
      </c>
      <c r="M38">
        <f t="shared" si="8"/>
        <v>2.8270512232862131E-4</v>
      </c>
      <c r="N38" s="25">
        <f t="shared" si="9"/>
        <v>3926.279459805648</v>
      </c>
      <c r="O38" s="28">
        <f t="shared" si="10"/>
        <v>9.8156986495141201</v>
      </c>
      <c r="P38" s="1">
        <f t="shared" si="11"/>
        <v>3.3830500670554735</v>
      </c>
      <c r="U38" s="1"/>
      <c r="V38" s="1"/>
      <c r="W38" s="5"/>
      <c r="X38" s="25"/>
      <c r="AA38"/>
      <c r="AB38" s="1"/>
    </row>
    <row r="39" spans="1:28" ht="14" x14ac:dyDescent="0.15">
      <c r="A39" s="43" t="s">
        <v>125</v>
      </c>
      <c r="B39" s="31">
        <v>4.1500000000000004</v>
      </c>
      <c r="C39">
        <f t="shared" si="0"/>
        <v>7.0794578438413704E-5</v>
      </c>
      <c r="D39">
        <f>DIC!O38</f>
        <v>2.3350001922445361E-4</v>
      </c>
      <c r="E39" s="31">
        <v>2</v>
      </c>
      <c r="F39">
        <f t="shared" si="1"/>
        <v>275.14999999999998</v>
      </c>
      <c r="G39">
        <f t="shared" si="2"/>
        <v>7.1743772542911699E-2</v>
      </c>
      <c r="H39">
        <f t="shared" si="3"/>
        <v>2.8081346341222542E-7</v>
      </c>
      <c r="I39">
        <f t="shared" si="4"/>
        <v>2.5339014130362006E-11</v>
      </c>
      <c r="J39">
        <f t="shared" si="5"/>
        <v>2.325774780927482E-4</v>
      </c>
      <c r="K39">
        <f t="shared" si="6"/>
        <v>9.2254080150673507E-7</v>
      </c>
      <c r="L39">
        <f t="shared" si="7"/>
        <v>3.301986525076968E-13</v>
      </c>
      <c r="M39">
        <f t="shared" si="8"/>
        <v>2.3350001922445358E-4</v>
      </c>
      <c r="N39" s="25">
        <f t="shared" si="9"/>
        <v>3241.7793189455983</v>
      </c>
      <c r="O39" s="28">
        <f t="shared" si="10"/>
        <v>8.1044482973639962</v>
      </c>
      <c r="P39" s="1">
        <f t="shared" si="11"/>
        <v>2.7932555118939058</v>
      </c>
      <c r="U39" s="1"/>
      <c r="V39" s="1"/>
      <c r="W39" s="5"/>
      <c r="X39" s="25"/>
      <c r="AA39"/>
      <c r="AB39" s="1"/>
    </row>
    <row r="40" spans="1:28" ht="14" x14ac:dyDescent="0.15">
      <c r="A40" s="43" t="s">
        <v>126</v>
      </c>
      <c r="B40" s="31">
        <v>4.2300000000000004</v>
      </c>
      <c r="C40">
        <f t="shared" si="0"/>
        <v>5.8884365535558766E-5</v>
      </c>
      <c r="D40">
        <f>DIC!O39</f>
        <v>1.6029107161729132E-3</v>
      </c>
      <c r="E40" s="31">
        <v>2</v>
      </c>
      <c r="F40">
        <f t="shared" si="1"/>
        <v>275.14999999999998</v>
      </c>
      <c r="G40">
        <f t="shared" si="2"/>
        <v>7.1743772542911699E-2</v>
      </c>
      <c r="H40">
        <f t="shared" si="3"/>
        <v>2.8081346341222542E-7</v>
      </c>
      <c r="I40">
        <f t="shared" si="4"/>
        <v>2.5339014130362006E-11</v>
      </c>
      <c r="J40">
        <f t="shared" si="5"/>
        <v>1.5953028780806471E-3</v>
      </c>
      <c r="K40">
        <f t="shared" si="6"/>
        <v>7.6078348184764341E-6</v>
      </c>
      <c r="L40">
        <f t="shared" si="7"/>
        <v>3.2737897778727443E-12</v>
      </c>
      <c r="M40">
        <f t="shared" si="8"/>
        <v>1.6029107161729134E-3</v>
      </c>
      <c r="N40" s="25">
        <f t="shared" si="9"/>
        <v>22236.116411726991</v>
      </c>
      <c r="O40" s="28">
        <f t="shared" si="10"/>
        <v>55.590291029317477</v>
      </c>
      <c r="P40" s="1">
        <f t="shared" si="11"/>
        <v>19.15958756574857</v>
      </c>
      <c r="U40" s="1"/>
      <c r="V40" s="1"/>
      <c r="W40" s="5"/>
      <c r="X40" s="25"/>
      <c r="AA40"/>
      <c r="AB40" s="1"/>
    </row>
    <row r="41" spans="1:28" ht="14" x14ac:dyDescent="0.15">
      <c r="A41" s="43" t="s">
        <v>127</v>
      </c>
      <c r="B41" s="31">
        <v>4</v>
      </c>
      <c r="C41">
        <f t="shared" si="0"/>
        <v>1E-4</v>
      </c>
      <c r="D41">
        <f>DIC!O40</f>
        <v>3.902523757110693E-4</v>
      </c>
      <c r="E41" s="31">
        <v>8.6948124999999994</v>
      </c>
      <c r="F41">
        <f t="shared" si="1"/>
        <v>281.84481249999999</v>
      </c>
      <c r="G41">
        <f t="shared" si="2"/>
        <v>5.6132362956976295E-2</v>
      </c>
      <c r="H41">
        <f t="shared" si="3"/>
        <v>3.3331009292148373E-7</v>
      </c>
      <c r="I41">
        <f t="shared" si="4"/>
        <v>3.1266681395394158E-11</v>
      </c>
      <c r="J41">
        <f t="shared" si="5"/>
        <v>3.8895594588107894E-4</v>
      </c>
      <c r="K41">
        <f t="shared" si="6"/>
        <v>1.2964294246398601E-6</v>
      </c>
      <c r="L41">
        <f t="shared" si="7"/>
        <v>4.0535045771828663E-13</v>
      </c>
      <c r="M41">
        <f t="shared" si="8"/>
        <v>3.9025237571106925E-4</v>
      </c>
      <c r="N41" s="25">
        <f t="shared" si="9"/>
        <v>6929.2637151085464</v>
      </c>
      <c r="O41" s="28">
        <f t="shared" si="10"/>
        <v>17.323159287771364</v>
      </c>
      <c r="P41" s="1">
        <f t="shared" si="11"/>
        <v>4.6713609100317584</v>
      </c>
      <c r="U41" s="1"/>
      <c r="V41" s="1"/>
      <c r="W41" s="5"/>
      <c r="X41" s="25"/>
      <c r="AA41"/>
      <c r="AB41" s="1"/>
    </row>
    <row r="42" spans="1:28" ht="14" x14ac:dyDescent="0.15">
      <c r="A42" s="43" t="s">
        <v>128</v>
      </c>
      <c r="B42" s="31">
        <v>4.1100000000000003</v>
      </c>
      <c r="C42">
        <f t="shared" si="0"/>
        <v>7.7624711662869057E-5</v>
      </c>
      <c r="D42">
        <f>DIC!O41</f>
        <v>2.4282274770181806E-4</v>
      </c>
      <c r="E42" s="31">
        <v>2.4284062500000001</v>
      </c>
      <c r="F42">
        <f t="shared" si="1"/>
        <v>275.57840625</v>
      </c>
      <c r="G42">
        <f t="shared" si="2"/>
        <v>7.057317402232717E-2</v>
      </c>
      <c r="H42">
        <f t="shared" si="3"/>
        <v>2.8418979876322143E-7</v>
      </c>
      <c r="I42">
        <f t="shared" si="4"/>
        <v>2.5703730257288129E-11</v>
      </c>
      <c r="J42">
        <f t="shared" si="5"/>
        <v>2.419369982010944E-4</v>
      </c>
      <c r="K42">
        <f t="shared" si="6"/>
        <v>8.8574920742714446E-7</v>
      </c>
      <c r="L42">
        <f t="shared" si="7"/>
        <v>2.9329653167915663E-13</v>
      </c>
      <c r="M42">
        <f t="shared" si="8"/>
        <v>2.4282274770181806E-4</v>
      </c>
      <c r="N42" s="25">
        <f t="shared" si="9"/>
        <v>3428.1722701681661</v>
      </c>
      <c r="O42" s="28">
        <f t="shared" si="10"/>
        <v>8.5704306754204147</v>
      </c>
      <c r="P42" s="1">
        <f t="shared" si="11"/>
        <v>2.905663348395144</v>
      </c>
      <c r="U42" s="1"/>
      <c r="V42" s="1"/>
      <c r="W42" s="5"/>
      <c r="X42" s="25"/>
      <c r="AA42"/>
      <c r="AB42" s="1"/>
    </row>
    <row r="43" spans="1:28" ht="15" x14ac:dyDescent="0.2">
      <c r="A43" s="29" t="s">
        <v>129</v>
      </c>
      <c r="B43" s="31">
        <v>4.05</v>
      </c>
      <c r="C43">
        <f t="shared" si="0"/>
        <v>8.912509381337452E-5</v>
      </c>
      <c r="D43">
        <f>DIC!O42</f>
        <v>3.1945124946684378E-4</v>
      </c>
      <c r="E43" s="31">
        <v>2</v>
      </c>
      <c r="F43">
        <f t="shared" si="1"/>
        <v>275.14999999999998</v>
      </c>
      <c r="G43">
        <f t="shared" si="2"/>
        <v>7.1743772542911699E-2</v>
      </c>
      <c r="H43">
        <f t="shared" si="3"/>
        <v>2.8081346341222542E-7</v>
      </c>
      <c r="I43">
        <f t="shared" si="4"/>
        <v>2.5339014130362006E-11</v>
      </c>
      <c r="J43">
        <f t="shared" si="5"/>
        <v>3.1844789029393636E-4</v>
      </c>
      <c r="K43">
        <f t="shared" si="6"/>
        <v>1.0033588876440231E-6</v>
      </c>
      <c r="L43">
        <f t="shared" si="7"/>
        <v>2.8526337470200729E-13</v>
      </c>
      <c r="M43">
        <f t="shared" si="8"/>
        <v>3.1945124946684372E-4</v>
      </c>
      <c r="N43" s="25">
        <f t="shared" si="9"/>
        <v>4438.6833728804113</v>
      </c>
      <c r="O43" s="28">
        <f t="shared" si="10"/>
        <v>11.096708432201028</v>
      </c>
      <c r="P43" s="1">
        <f t="shared" si="11"/>
        <v>3.8245591624301758</v>
      </c>
      <c r="U43" s="1"/>
      <c r="V43" s="1"/>
      <c r="W43" s="5"/>
      <c r="X43" s="25"/>
      <c r="AA43"/>
      <c r="AB43" s="1"/>
    </row>
    <row r="44" spans="1:28" ht="15" x14ac:dyDescent="0.2">
      <c r="A44" s="29" t="s">
        <v>130</v>
      </c>
      <c r="B44" s="31">
        <v>4.21</v>
      </c>
      <c r="C44">
        <f t="shared" si="0"/>
        <v>6.1659500186148184E-5</v>
      </c>
      <c r="D44">
        <f>DIC!O43</f>
        <v>1.9644405651397231E-4</v>
      </c>
      <c r="E44" s="31">
        <v>2.79214583333333</v>
      </c>
      <c r="F44">
        <f t="shared" si="1"/>
        <v>275.94214583333331</v>
      </c>
      <c r="G44">
        <f t="shared" si="2"/>
        <v>6.9600009620391229E-2</v>
      </c>
      <c r="H44">
        <f t="shared" si="3"/>
        <v>2.8705734087943457E-7</v>
      </c>
      <c r="I44">
        <f t="shared" si="4"/>
        <v>2.6015117005460658E-11</v>
      </c>
      <c r="J44">
        <f t="shared" si="5"/>
        <v>1.955337439085988E-4</v>
      </c>
      <c r="K44">
        <f t="shared" si="6"/>
        <v>9.1031222129841697E-7</v>
      </c>
      <c r="L44">
        <f t="shared" si="7"/>
        <v>3.8407510403237504E-13</v>
      </c>
      <c r="M44">
        <f t="shared" si="8"/>
        <v>1.9644405651397231E-4</v>
      </c>
      <c r="N44" s="25">
        <f t="shared" si="9"/>
        <v>2809.3924839244823</v>
      </c>
      <c r="O44" s="28">
        <f t="shared" si="10"/>
        <v>7.023481209811206</v>
      </c>
      <c r="P44" s="1">
        <f t="shared" si="11"/>
        <v>2.3483602643422716</v>
      </c>
      <c r="U44" s="1"/>
      <c r="V44" s="1"/>
      <c r="W44" s="5"/>
      <c r="X44" s="25"/>
      <c r="AA44"/>
      <c r="AB44" s="1"/>
    </row>
    <row r="45" spans="1:28" ht="15" x14ac:dyDescent="0.2">
      <c r="A45" s="29" t="s">
        <v>131</v>
      </c>
      <c r="B45" s="31">
        <v>4.21</v>
      </c>
      <c r="C45">
        <f t="shared" si="0"/>
        <v>6.1659500186148184E-5</v>
      </c>
      <c r="D45">
        <f>DIC!O44</f>
        <v>2.2464723950879693E-4</v>
      </c>
      <c r="E45" s="31">
        <v>2</v>
      </c>
      <c r="F45">
        <f t="shared" si="1"/>
        <v>275.14999999999998</v>
      </c>
      <c r="G45">
        <f t="shared" si="2"/>
        <v>7.1743772542911699E-2</v>
      </c>
      <c r="H45">
        <f t="shared" si="3"/>
        <v>2.8081346341222542E-7</v>
      </c>
      <c r="I45">
        <f t="shared" si="4"/>
        <v>2.5339014130362006E-11</v>
      </c>
      <c r="J45">
        <f t="shared" si="5"/>
        <v>2.2362877525728799E-4</v>
      </c>
      <c r="K45">
        <f t="shared" si="6"/>
        <v>1.0184638329705566E-6</v>
      </c>
      <c r="L45">
        <f t="shared" si="7"/>
        <v>4.18538414631864E-13</v>
      </c>
      <c r="M45">
        <f t="shared" si="8"/>
        <v>2.2464723950879696E-4</v>
      </c>
      <c r="N45" s="25">
        <f t="shared" si="9"/>
        <v>3117.0478960181549</v>
      </c>
      <c r="O45" s="28">
        <f t="shared" si="10"/>
        <v>7.7926197400453869</v>
      </c>
      <c r="P45" s="1">
        <f t="shared" si="11"/>
        <v>2.6857815908400289</v>
      </c>
      <c r="U45" s="1"/>
      <c r="V45" s="1"/>
      <c r="W45" s="5"/>
      <c r="X45" s="25"/>
      <c r="AA45"/>
      <c r="AB45" s="1"/>
    </row>
    <row r="46" spans="1:28" ht="15" x14ac:dyDescent="0.2">
      <c r="A46" s="29" t="s">
        <v>132</v>
      </c>
      <c r="B46" s="31">
        <v>3.96</v>
      </c>
      <c r="C46">
        <f t="shared" si="0"/>
        <v>1.0964781961431837E-4</v>
      </c>
      <c r="D46">
        <f>DIC!O45</f>
        <v>3.5111520800194877E-4</v>
      </c>
      <c r="E46" s="31">
        <v>8.2358333333333302</v>
      </c>
      <c r="F46">
        <f t="shared" si="1"/>
        <v>281.38583333333332</v>
      </c>
      <c r="G46">
        <f t="shared" si="2"/>
        <v>5.7040251382989883E-2</v>
      </c>
      <c r="H46">
        <f t="shared" si="3"/>
        <v>3.2975566415230569E-7</v>
      </c>
      <c r="I46">
        <f t="shared" si="4"/>
        <v>3.0846345528825101E-11</v>
      </c>
      <c r="J46">
        <f t="shared" si="5"/>
        <v>3.5006242737108004E-4</v>
      </c>
      <c r="K46">
        <f t="shared" si="6"/>
        <v>1.0527803346984629E-6</v>
      </c>
      <c r="L46">
        <f t="shared" si="7"/>
        <v>2.9617028486556652E-13</v>
      </c>
      <c r="M46">
        <f t="shared" si="8"/>
        <v>3.5111520800194877E-4</v>
      </c>
      <c r="N46" s="25">
        <f t="shared" si="9"/>
        <v>6137.1122827041581</v>
      </c>
      <c r="O46" s="28">
        <f t="shared" si="10"/>
        <v>15.342780706760395</v>
      </c>
      <c r="P46" s="1">
        <f t="shared" si="11"/>
        <v>4.2042497527266711</v>
      </c>
      <c r="U46" s="1"/>
      <c r="V46" s="1"/>
      <c r="W46" s="5"/>
      <c r="X46" s="25"/>
      <c r="AA46"/>
      <c r="AB46" s="1"/>
    </row>
    <row r="47" spans="1:28" ht="15" x14ac:dyDescent="0.2">
      <c r="A47" s="29" t="s">
        <v>133</v>
      </c>
      <c r="B47" s="31">
        <v>4.38</v>
      </c>
      <c r="C47">
        <f t="shared" si="0"/>
        <v>4.1686938347033504E-5</v>
      </c>
      <c r="D47">
        <f>DIC!O46</f>
        <v>2.2275003460384658E-4</v>
      </c>
      <c r="E47" s="31">
        <v>2</v>
      </c>
      <c r="F47">
        <f t="shared" si="1"/>
        <v>275.14999999999998</v>
      </c>
      <c r="G47">
        <f t="shared" si="2"/>
        <v>7.1743772542911699E-2</v>
      </c>
      <c r="H47">
        <f t="shared" si="3"/>
        <v>2.8081346341222542E-7</v>
      </c>
      <c r="I47">
        <f t="shared" si="4"/>
        <v>2.5339014130362006E-11</v>
      </c>
      <c r="J47">
        <f t="shared" si="5"/>
        <v>2.2125957481601753E-4</v>
      </c>
      <c r="K47">
        <f t="shared" si="6"/>
        <v>1.4904588818675798E-6</v>
      </c>
      <c r="L47">
        <f t="shared" si="7"/>
        <v>9.0596143938341516E-13</v>
      </c>
      <c r="M47">
        <f t="shared" si="8"/>
        <v>2.2275003460384656E-4</v>
      </c>
      <c r="N47" s="25">
        <f t="shared" si="9"/>
        <v>3084.0248146091949</v>
      </c>
      <c r="O47" s="28">
        <f t="shared" si="10"/>
        <v>7.7100620365229871</v>
      </c>
      <c r="P47" s="1">
        <f t="shared" si="11"/>
        <v>2.6573274935403703</v>
      </c>
      <c r="U47" s="1"/>
      <c r="V47" s="1"/>
      <c r="W47" s="5"/>
      <c r="X47" s="25"/>
      <c r="AA47"/>
      <c r="AB47" s="1"/>
    </row>
    <row r="48" spans="1:28" ht="15" x14ac:dyDescent="0.2">
      <c r="A48" s="29" t="s">
        <v>134</v>
      </c>
      <c r="B48" s="31">
        <v>3.93</v>
      </c>
      <c r="C48">
        <f t="shared" si="0"/>
        <v>1.1748975549395278E-4</v>
      </c>
      <c r="D48">
        <f>DIC!O47</f>
        <v>2.9697062081941023E-4</v>
      </c>
      <c r="E48" s="31">
        <v>12.859375</v>
      </c>
      <c r="F48">
        <f t="shared" si="1"/>
        <v>286.00937499999998</v>
      </c>
      <c r="G48">
        <f t="shared" si="2"/>
        <v>4.877097139465774E-2</v>
      </c>
      <c r="H48">
        <f t="shared" si="3"/>
        <v>3.6492736200897112E-7</v>
      </c>
      <c r="I48">
        <f t="shared" si="4"/>
        <v>3.5152225886176931E-11</v>
      </c>
      <c r="J48">
        <f t="shared" si="5"/>
        <v>2.9605107536777721E-4</v>
      </c>
      <c r="K48">
        <f t="shared" si="6"/>
        <v>9.1954517651066793E-7</v>
      </c>
      <c r="L48">
        <f t="shared" si="7"/>
        <v>2.7512236808520008E-13</v>
      </c>
      <c r="M48">
        <f t="shared" si="8"/>
        <v>2.9697062081941023E-4</v>
      </c>
      <c r="N48" s="25">
        <f t="shared" si="9"/>
        <v>6070.2312646617893</v>
      </c>
      <c r="O48" s="28">
        <f t="shared" si="10"/>
        <v>15.175578161654473</v>
      </c>
      <c r="P48" s="1">
        <f t="shared" si="11"/>
        <v>3.5555734151670042</v>
      </c>
      <c r="U48" s="1"/>
      <c r="V48" s="1"/>
      <c r="W48" s="5"/>
      <c r="X48" s="25"/>
      <c r="AA48"/>
      <c r="AB48" s="1"/>
    </row>
    <row r="49" spans="1:28" ht="15" x14ac:dyDescent="0.2">
      <c r="A49" s="29" t="s">
        <v>135</v>
      </c>
      <c r="B49" s="31">
        <v>3.88</v>
      </c>
      <c r="C49">
        <f t="shared" si="0"/>
        <v>1.3182567385564069E-4</v>
      </c>
      <c r="D49">
        <f>DIC!O48</f>
        <v>3.0701441991596006E-4</v>
      </c>
      <c r="E49" s="31">
        <v>2</v>
      </c>
      <c r="F49">
        <f t="shared" si="1"/>
        <v>275.14999999999998</v>
      </c>
      <c r="G49">
        <f t="shared" si="2"/>
        <v>7.1743772542911699E-2</v>
      </c>
      <c r="H49">
        <f t="shared" si="3"/>
        <v>2.8081346341222542E-7</v>
      </c>
      <c r="I49">
        <f t="shared" si="4"/>
        <v>2.5339014130362006E-11</v>
      </c>
      <c r="J49">
        <f t="shared" si="5"/>
        <v>3.0636181154781582E-4</v>
      </c>
      <c r="K49">
        <f t="shared" si="6"/>
        <v>6.5260824270237194E-7</v>
      </c>
      <c r="L49">
        <f t="shared" si="7"/>
        <v>1.2544179748729987E-13</v>
      </c>
      <c r="M49">
        <f t="shared" si="8"/>
        <v>3.0701441991596001E-4</v>
      </c>
      <c r="N49" s="25">
        <f t="shared" si="9"/>
        <v>4270.2216609054585</v>
      </c>
      <c r="O49" s="28">
        <f t="shared" si="10"/>
        <v>10.675554152263647</v>
      </c>
      <c r="P49" s="1">
        <f t="shared" si="11"/>
        <v>3.6794053566892679</v>
      </c>
      <c r="U49" s="1"/>
      <c r="V49" s="1"/>
      <c r="W49" s="5"/>
      <c r="X49" s="25"/>
      <c r="AA49"/>
      <c r="AB49" s="1"/>
    </row>
    <row r="50" spans="1:28" ht="15" x14ac:dyDescent="0.2">
      <c r="A50" s="29" t="s">
        <v>136</v>
      </c>
      <c r="B50" s="31">
        <v>4.29</v>
      </c>
      <c r="C50">
        <f t="shared" si="0"/>
        <v>5.12861383991364E-5</v>
      </c>
      <c r="D50">
        <f>DIC!O49</f>
        <v>3.2156874094851375E-4</v>
      </c>
      <c r="E50" s="31">
        <v>2</v>
      </c>
      <c r="F50">
        <f t="shared" si="1"/>
        <v>275.14999999999998</v>
      </c>
      <c r="G50">
        <f t="shared" si="2"/>
        <v>7.1743772542911699E-2</v>
      </c>
      <c r="H50">
        <f t="shared" si="3"/>
        <v>2.8081346341222542E-7</v>
      </c>
      <c r="I50">
        <f t="shared" si="4"/>
        <v>2.5339014130362006E-11</v>
      </c>
      <c r="J50">
        <f t="shared" si="5"/>
        <v>3.1981760241925458E-4</v>
      </c>
      <c r="K50">
        <f t="shared" si="6"/>
        <v>1.7511376640721559E-6</v>
      </c>
      <c r="L50">
        <f t="shared" si="7"/>
        <v>8.6518703492171385E-13</v>
      </c>
      <c r="M50">
        <f t="shared" si="8"/>
        <v>3.215687409485138E-4</v>
      </c>
      <c r="N50" s="25">
        <f t="shared" si="9"/>
        <v>4457.7750943883511</v>
      </c>
      <c r="O50" s="28">
        <f t="shared" si="10"/>
        <v>11.144437735970877</v>
      </c>
      <c r="P50" s="1">
        <f t="shared" si="11"/>
        <v>3.8410094050552472</v>
      </c>
      <c r="U50" s="1"/>
      <c r="V50" s="1"/>
      <c r="W50" s="5"/>
      <c r="X50" s="25"/>
      <c r="AA50"/>
      <c r="AB50" s="1"/>
    </row>
    <row r="51" spans="1:28" ht="15" x14ac:dyDescent="0.2">
      <c r="A51" s="29" t="s">
        <v>137</v>
      </c>
      <c r="B51" s="31">
        <v>4.18</v>
      </c>
      <c r="C51">
        <f t="shared" si="0"/>
        <v>6.6069344800759539E-5</v>
      </c>
      <c r="D51">
        <f>DIC!O50</f>
        <v>3.3180972984348049E-4</v>
      </c>
      <c r="E51" s="31">
        <v>2</v>
      </c>
      <c r="F51">
        <f t="shared" si="1"/>
        <v>275.14999999999998</v>
      </c>
      <c r="G51">
        <f t="shared" si="2"/>
        <v>7.1743772542911699E-2</v>
      </c>
      <c r="H51">
        <f t="shared" si="3"/>
        <v>2.8081346341222542E-7</v>
      </c>
      <c r="I51">
        <f t="shared" si="4"/>
        <v>2.5339014130362006E-11</v>
      </c>
      <c r="J51">
        <f t="shared" si="5"/>
        <v>3.3040541254488045E-4</v>
      </c>
      <c r="K51">
        <f t="shared" si="6"/>
        <v>1.4043167600143416E-6</v>
      </c>
      <c r="L51">
        <f t="shared" si="7"/>
        <v>5.3858566832796134E-13</v>
      </c>
      <c r="M51">
        <f t="shared" si="8"/>
        <v>3.3180972984348049E-4</v>
      </c>
      <c r="N51" s="25">
        <f t="shared" si="9"/>
        <v>4605.3532011751531</v>
      </c>
      <c r="O51" s="28">
        <f t="shared" si="10"/>
        <v>11.513383002937882</v>
      </c>
      <c r="P51" s="1">
        <f t="shared" si="11"/>
        <v>3.9681690046640137</v>
      </c>
      <c r="U51" s="1"/>
      <c r="V51" s="1"/>
      <c r="W51" s="5"/>
      <c r="X51" s="25"/>
      <c r="AA51"/>
      <c r="AB51" s="1"/>
    </row>
    <row r="52" spans="1:28" ht="15" x14ac:dyDescent="0.2">
      <c r="A52" s="29" t="s">
        <v>138</v>
      </c>
      <c r="B52" s="31">
        <v>3.91</v>
      </c>
      <c r="C52">
        <f t="shared" si="0"/>
        <v>1.2302687708123794E-4</v>
      </c>
      <c r="D52">
        <f>DIC!O51</f>
        <v>4.0418787175449647E-4</v>
      </c>
      <c r="E52" s="31">
        <v>8.7147083333333306</v>
      </c>
      <c r="F52">
        <f t="shared" si="1"/>
        <v>281.86470833333328</v>
      </c>
      <c r="G52">
        <f t="shared" si="2"/>
        <v>5.6093477560229019E-2</v>
      </c>
      <c r="H52">
        <f t="shared" si="3"/>
        <v>3.3346391953135367E-7</v>
      </c>
      <c r="I52">
        <f t="shared" si="4"/>
        <v>3.1284941973115309E-11</v>
      </c>
      <c r="J52">
        <f t="shared" si="5"/>
        <v>4.0309528312325223E-4</v>
      </c>
      <c r="K52">
        <f t="shared" si="6"/>
        <v>1.0925883534060673E-6</v>
      </c>
      <c r="L52">
        <f t="shared" si="7"/>
        <v>2.7783817689072456E-13</v>
      </c>
      <c r="M52">
        <f t="shared" si="8"/>
        <v>4.0418787175449647E-4</v>
      </c>
      <c r="N52" s="25">
        <f t="shared" si="9"/>
        <v>7186.1346569293801</v>
      </c>
      <c r="O52" s="28">
        <f t="shared" si="10"/>
        <v>17.96533664232345</v>
      </c>
      <c r="P52" s="1">
        <f t="shared" si="11"/>
        <v>4.8411743503102587</v>
      </c>
      <c r="U52" s="1"/>
      <c r="V52" s="1"/>
      <c r="W52" s="5"/>
      <c r="X52" s="25"/>
      <c r="AA52"/>
      <c r="AB52" s="1"/>
    </row>
    <row r="53" spans="1:28" ht="15" x14ac:dyDescent="0.2">
      <c r="A53" s="29" t="s">
        <v>139</v>
      </c>
      <c r="B53" s="31">
        <v>4.18</v>
      </c>
      <c r="C53">
        <f t="shared" si="0"/>
        <v>6.6069344800759539E-5</v>
      </c>
      <c r="D53">
        <f>DIC!O52</f>
        <v>3.4585531653922815E-4</v>
      </c>
      <c r="E53" s="31">
        <v>2</v>
      </c>
      <c r="F53">
        <f t="shared" si="1"/>
        <v>275.14999999999998</v>
      </c>
      <c r="G53">
        <f t="shared" si="2"/>
        <v>7.1743772542911699E-2</v>
      </c>
      <c r="H53">
        <f t="shared" si="3"/>
        <v>2.8081346341222542E-7</v>
      </c>
      <c r="I53">
        <f t="shared" si="4"/>
        <v>2.5339014130362006E-11</v>
      </c>
      <c r="J53">
        <f t="shared" si="5"/>
        <v>3.4439155414727558E-4</v>
      </c>
      <c r="K53">
        <f t="shared" si="6"/>
        <v>1.4637618305684126E-6</v>
      </c>
      <c r="L53">
        <f t="shared" si="7"/>
        <v>5.6138413087201031E-13</v>
      </c>
      <c r="M53">
        <f t="shared" si="8"/>
        <v>3.458553165392281E-4</v>
      </c>
      <c r="N53" s="25">
        <f t="shared" si="9"/>
        <v>4800.2989240813422</v>
      </c>
      <c r="O53" s="28">
        <f t="shared" si="10"/>
        <v>12.000747310203355</v>
      </c>
      <c r="P53" s="1">
        <f t="shared" si="11"/>
        <v>4.1361425653087798</v>
      </c>
      <c r="U53" s="1"/>
      <c r="V53" s="1"/>
      <c r="W53" s="5"/>
      <c r="X53" s="25"/>
      <c r="AA53"/>
      <c r="AB53" s="1"/>
    </row>
    <row r="54" spans="1:28" ht="15" x14ac:dyDescent="0.2">
      <c r="A54" s="29" t="s">
        <v>140</v>
      </c>
      <c r="B54" s="31">
        <v>4.17</v>
      </c>
      <c r="C54">
        <f t="shared" si="0"/>
        <v>6.7608297539198107E-5</v>
      </c>
      <c r="D54">
        <f>DIC!O53</f>
        <v>2.1205984923362183E-4</v>
      </c>
      <c r="E54" s="31">
        <v>2</v>
      </c>
      <c r="F54">
        <f t="shared" si="1"/>
        <v>275.14999999999998</v>
      </c>
      <c r="G54">
        <f t="shared" si="2"/>
        <v>7.1743772542911699E-2</v>
      </c>
      <c r="H54">
        <f t="shared" si="3"/>
        <v>2.8081346341222542E-7</v>
      </c>
      <c r="I54">
        <f t="shared" si="4"/>
        <v>2.5339014130362006E-11</v>
      </c>
      <c r="J54">
        <f t="shared" si="5"/>
        <v>2.1118269408958241E-4</v>
      </c>
      <c r="K54">
        <f t="shared" si="6"/>
        <v>8.7715481528931166E-7</v>
      </c>
      <c r="L54">
        <f t="shared" si="7"/>
        <v>3.2875015446505746E-13</v>
      </c>
      <c r="M54">
        <f t="shared" si="8"/>
        <v>2.1205984923362188E-4</v>
      </c>
      <c r="N54" s="25">
        <f t="shared" si="9"/>
        <v>2943.5682931681481</v>
      </c>
      <c r="O54" s="28">
        <f t="shared" si="10"/>
        <v>7.3589207329203701</v>
      </c>
      <c r="P54" s="1">
        <f t="shared" si="11"/>
        <v>2.5363041560158845</v>
      </c>
      <c r="U54" s="1"/>
      <c r="V54" s="1"/>
      <c r="W54" s="5"/>
      <c r="X54" s="25"/>
      <c r="AA54"/>
      <c r="AB54" s="1"/>
    </row>
    <row r="55" spans="1:28" ht="15" x14ac:dyDescent="0.2">
      <c r="A55" s="29" t="s">
        <v>141</v>
      </c>
      <c r="B55" s="31">
        <v>4.0199999999999996</v>
      </c>
      <c r="C55">
        <f t="shared" si="0"/>
        <v>9.5499258602143526E-5</v>
      </c>
      <c r="D55">
        <f>DIC!O54</f>
        <v>3.4352772748682582E-4</v>
      </c>
      <c r="E55" s="31">
        <v>2</v>
      </c>
      <c r="F55">
        <f t="shared" si="1"/>
        <v>275.14999999999998</v>
      </c>
      <c r="G55">
        <f t="shared" si="2"/>
        <v>7.1743772542911699E-2</v>
      </c>
      <c r="H55">
        <f t="shared" si="3"/>
        <v>2.8081346341222542E-7</v>
      </c>
      <c r="I55">
        <f t="shared" si="4"/>
        <v>2.5339014130362006E-11</v>
      </c>
      <c r="J55">
        <f t="shared" si="5"/>
        <v>3.4252055308849717E-4</v>
      </c>
      <c r="K55">
        <f t="shared" si="6"/>
        <v>1.0071741310931289E-6</v>
      </c>
      <c r="L55">
        <f t="shared" si="7"/>
        <v>2.6723557766898771E-13</v>
      </c>
      <c r="M55">
        <f t="shared" si="8"/>
        <v>3.4352772748682587E-4</v>
      </c>
      <c r="N55" s="25">
        <f t="shared" si="9"/>
        <v>4774.2199907821587</v>
      </c>
      <c r="O55" s="28">
        <f t="shared" si="10"/>
        <v>11.935549976955397</v>
      </c>
      <c r="P55" s="1">
        <f t="shared" si="11"/>
        <v>4.1136718425928507</v>
      </c>
      <c r="U55" s="1"/>
      <c r="V55" s="1"/>
      <c r="W55" s="5"/>
      <c r="X55" s="25"/>
      <c r="AA55"/>
      <c r="AB55" s="1"/>
    </row>
    <row r="56" spans="1:28" ht="15" x14ac:dyDescent="0.2">
      <c r="A56" s="29" t="s">
        <v>142</v>
      </c>
      <c r="B56" s="31">
        <v>4.13</v>
      </c>
      <c r="C56">
        <f t="shared" si="0"/>
        <v>7.4131024130091641E-5</v>
      </c>
      <c r="D56">
        <f>DIC!O55</f>
        <v>3.5007938648719337E-4</v>
      </c>
      <c r="E56" s="31">
        <v>2</v>
      </c>
      <c r="F56">
        <f t="shared" si="1"/>
        <v>275.14999999999998</v>
      </c>
      <c r="G56">
        <f t="shared" si="2"/>
        <v>7.1743772542911699E-2</v>
      </c>
      <c r="H56">
        <f t="shared" si="3"/>
        <v>2.8081346341222542E-7</v>
      </c>
      <c r="I56">
        <f t="shared" si="4"/>
        <v>2.5339014130362006E-11</v>
      </c>
      <c r="J56">
        <f t="shared" si="5"/>
        <v>3.4875826552520855E-4</v>
      </c>
      <c r="K56">
        <f t="shared" si="6"/>
        <v>1.3211205104074593E-6</v>
      </c>
      <c r="L56">
        <f t="shared" si="7"/>
        <v>4.515773479991216E-13</v>
      </c>
      <c r="M56">
        <f t="shared" si="8"/>
        <v>3.5007938648719337E-4</v>
      </c>
      <c r="N56" s="25">
        <f t="shared" si="9"/>
        <v>4861.1642957109307</v>
      </c>
      <c r="O56" s="28">
        <f t="shared" si="10"/>
        <v>12.152910739277326</v>
      </c>
      <c r="P56" s="1">
        <f t="shared" si="11"/>
        <v>4.1885867689577543</v>
      </c>
      <c r="U56" s="1"/>
      <c r="V56" s="1"/>
      <c r="W56" s="5"/>
      <c r="X56" s="25"/>
      <c r="AA56"/>
      <c r="AB56" s="1"/>
    </row>
    <row r="57" spans="1:28" ht="15" x14ac:dyDescent="0.2">
      <c r="A57" s="29" t="s">
        <v>143</v>
      </c>
      <c r="B57" s="31">
        <v>4.13</v>
      </c>
      <c r="C57">
        <f t="shared" si="0"/>
        <v>7.4131024130091641E-5</v>
      </c>
      <c r="D57">
        <f>DIC!O56</f>
        <v>2.7723711093981669E-4</v>
      </c>
      <c r="E57" s="31">
        <v>2</v>
      </c>
      <c r="F57">
        <f t="shared" si="1"/>
        <v>275.14999999999998</v>
      </c>
      <c r="G57">
        <f t="shared" si="2"/>
        <v>7.1743772542911699E-2</v>
      </c>
      <c r="H57">
        <f t="shared" si="3"/>
        <v>2.8081346341222542E-7</v>
      </c>
      <c r="I57">
        <f t="shared" si="4"/>
        <v>2.5339014130362006E-11</v>
      </c>
      <c r="J57">
        <f t="shared" si="5"/>
        <v>2.761908803622957E-4</v>
      </c>
      <c r="K57">
        <f t="shared" si="6"/>
        <v>1.0462302199049893E-6</v>
      </c>
      <c r="L57">
        <f t="shared" si="7"/>
        <v>3.5761602698569787E-13</v>
      </c>
      <c r="M57">
        <f t="shared" si="8"/>
        <v>2.7723711093981669E-4</v>
      </c>
      <c r="N57" s="25">
        <f t="shared" si="9"/>
        <v>3849.6843777918034</v>
      </c>
      <c r="O57" s="28">
        <f t="shared" si="10"/>
        <v>9.6242109444795076</v>
      </c>
      <c r="P57" s="1">
        <f t="shared" si="11"/>
        <v>3.3170524731511715</v>
      </c>
      <c r="U57" s="1"/>
      <c r="V57" s="1"/>
      <c r="W57" s="5"/>
      <c r="X57" s="25"/>
      <c r="AA57"/>
      <c r="AB57" s="1"/>
    </row>
    <row r="58" spans="1:28" ht="15" x14ac:dyDescent="0.2">
      <c r="A58" s="29" t="s">
        <v>144</v>
      </c>
      <c r="B58" s="31">
        <v>3.99</v>
      </c>
      <c r="C58">
        <f t="shared" si="0"/>
        <v>1.0232929922807532E-4</v>
      </c>
      <c r="D58">
        <f>DIC!O57</f>
        <v>3.4759368508924075E-4</v>
      </c>
      <c r="E58" s="31">
        <v>3.3451249999999999</v>
      </c>
      <c r="F58">
        <f t="shared" si="1"/>
        <v>276.49512499999997</v>
      </c>
      <c r="G58">
        <f t="shared" si="2"/>
        <v>6.8156007933084253E-2</v>
      </c>
      <c r="H58">
        <f t="shared" si="3"/>
        <v>2.9141719407551625E-7</v>
      </c>
      <c r="I58">
        <f t="shared" si="4"/>
        <v>2.6491479203604486E-11</v>
      </c>
      <c r="J58">
        <f t="shared" si="5"/>
        <v>3.4660660561768876E-4</v>
      </c>
      <c r="K58">
        <f t="shared" si="6"/>
        <v>9.8707921601239086E-7</v>
      </c>
      <c r="L58">
        <f t="shared" si="7"/>
        <v>2.5553960322761711E-13</v>
      </c>
      <c r="M58">
        <f t="shared" si="8"/>
        <v>3.4759368508924075E-4</v>
      </c>
      <c r="N58" s="25">
        <f t="shared" si="9"/>
        <v>5085.4886623933144</v>
      </c>
      <c r="O58" s="28">
        <f t="shared" si="10"/>
        <v>12.713721655983285</v>
      </c>
      <c r="P58" s="1">
        <f t="shared" si="11"/>
        <v>4.1627453334684414</v>
      </c>
      <c r="U58" s="1"/>
      <c r="V58" s="1"/>
      <c r="W58" s="5"/>
      <c r="X58" s="25"/>
      <c r="AA58"/>
      <c r="AB58" s="1"/>
    </row>
    <row r="59" spans="1:28" ht="15" x14ac:dyDescent="0.2">
      <c r="A59" s="29" t="s">
        <v>145</v>
      </c>
      <c r="B59" s="31">
        <v>4.96</v>
      </c>
      <c r="C59">
        <f t="shared" si="0"/>
        <v>1.0964781961431843E-5</v>
      </c>
      <c r="D59">
        <f>DIC!O58</f>
        <v>1.0272693601029629E-4</v>
      </c>
      <c r="E59" s="31">
        <v>2</v>
      </c>
      <c r="F59">
        <f t="shared" si="1"/>
        <v>275.14999999999998</v>
      </c>
      <c r="G59">
        <f t="shared" si="2"/>
        <v>7.1743772542911699E-2</v>
      </c>
      <c r="H59">
        <f t="shared" si="3"/>
        <v>2.8081346341222542E-7</v>
      </c>
      <c r="I59">
        <f t="shared" si="4"/>
        <v>2.5339014130362006E-11</v>
      </c>
      <c r="J59">
        <f t="shared" si="5"/>
        <v>1.0016173865111784E-4</v>
      </c>
      <c r="K59">
        <f t="shared" si="6"/>
        <v>2.5651914311607173E-6</v>
      </c>
      <c r="L59">
        <f t="shared" si="7"/>
        <v>5.9280177344061805E-12</v>
      </c>
      <c r="M59">
        <f t="shared" si="8"/>
        <v>1.0272693601029629E-4</v>
      </c>
      <c r="N59" s="25">
        <f t="shared" si="9"/>
        <v>1396.1035933984188</v>
      </c>
      <c r="O59" s="28">
        <f t="shared" si="10"/>
        <v>3.4902589834960467</v>
      </c>
      <c r="P59" s="1">
        <f t="shared" si="11"/>
        <v>1.2029424811999252</v>
      </c>
      <c r="U59" s="1"/>
      <c r="V59" s="1"/>
      <c r="W59" s="5"/>
      <c r="X59" s="25"/>
      <c r="AA59"/>
      <c r="AB59" s="1"/>
    </row>
    <row r="60" spans="1:28" ht="15" x14ac:dyDescent="0.2">
      <c r="A60" s="29" t="s">
        <v>146</v>
      </c>
      <c r="B60" s="31" t="s">
        <v>93</v>
      </c>
      <c r="C60" t="e">
        <f t="shared" si="0"/>
        <v>#VALUE!</v>
      </c>
      <c r="D60">
        <f>DIC!O59</f>
        <v>3.2363446942835166E-4</v>
      </c>
      <c r="E60" s="31">
        <v>2</v>
      </c>
      <c r="F60">
        <f t="shared" si="1"/>
        <v>275.14999999999998</v>
      </c>
      <c r="G60">
        <f t="shared" si="2"/>
        <v>7.1743772542911699E-2</v>
      </c>
      <c r="H60">
        <f t="shared" si="3"/>
        <v>2.8081346341222542E-7</v>
      </c>
      <c r="I60">
        <f t="shared" si="4"/>
        <v>2.5339014130362006E-11</v>
      </c>
      <c r="J60" t="e">
        <f t="shared" si="5"/>
        <v>#VALUE!</v>
      </c>
      <c r="K60" t="e">
        <f t="shared" si="6"/>
        <v>#VALUE!</v>
      </c>
      <c r="L60" t="e">
        <f t="shared" si="7"/>
        <v>#VALUE!</v>
      </c>
      <c r="M60" t="e">
        <f t="shared" si="8"/>
        <v>#VALUE!</v>
      </c>
      <c r="N60" s="25" t="e">
        <f t="shared" si="9"/>
        <v>#VALUE!</v>
      </c>
      <c r="O60" s="28" t="e">
        <f t="shared" si="10"/>
        <v>#VALUE!</v>
      </c>
      <c r="P60" s="1" t="e">
        <f t="shared" si="11"/>
        <v>#VALUE!</v>
      </c>
      <c r="U60" s="1"/>
      <c r="V60" s="1"/>
      <c r="W60" s="5"/>
      <c r="X60" s="25"/>
      <c r="AA60"/>
      <c r="AB60" s="1"/>
    </row>
    <row r="61" spans="1:28" ht="15" x14ac:dyDescent="0.2">
      <c r="A61" s="29" t="s">
        <v>147</v>
      </c>
      <c r="B61" s="31">
        <v>4.5999999999999996</v>
      </c>
      <c r="C61">
        <f t="shared" si="0"/>
        <v>2.5118864315095791E-5</v>
      </c>
      <c r="D61">
        <f>DIC!O60</f>
        <v>1.5752819801584625E-4</v>
      </c>
      <c r="E61" s="31">
        <v>2</v>
      </c>
      <c r="F61">
        <f t="shared" si="1"/>
        <v>275.14999999999998</v>
      </c>
      <c r="G61">
        <f t="shared" si="2"/>
        <v>7.1743772542911699E-2</v>
      </c>
      <c r="H61">
        <f t="shared" si="3"/>
        <v>2.8081346341222542E-7</v>
      </c>
      <c r="I61">
        <f t="shared" si="4"/>
        <v>2.5339014130362006E-11</v>
      </c>
      <c r="J61">
        <f t="shared" si="5"/>
        <v>1.5578659785122788E-4</v>
      </c>
      <c r="K61">
        <f t="shared" si="6"/>
        <v>1.7415984077560405E-6</v>
      </c>
      <c r="L61">
        <f t="shared" si="7"/>
        <v>1.7568623370056206E-12</v>
      </c>
      <c r="M61">
        <f t="shared" si="8"/>
        <v>1.5752819801584625E-4</v>
      </c>
      <c r="N61" s="25">
        <f t="shared" si="9"/>
        <v>2171.4302486400211</v>
      </c>
      <c r="O61" s="28">
        <f t="shared" si="10"/>
        <v>5.4285756216000527</v>
      </c>
      <c r="P61" s="1">
        <f t="shared" si="11"/>
        <v>1.8709970401932465</v>
      </c>
      <c r="U61" s="1"/>
      <c r="V61" s="1"/>
      <c r="W61" s="5"/>
      <c r="X61" s="25"/>
      <c r="AA61"/>
      <c r="AB61" s="1"/>
    </row>
    <row r="62" spans="1:28" ht="15" x14ac:dyDescent="0.2">
      <c r="A62" s="29" t="s">
        <v>148</v>
      </c>
      <c r="B62" s="31">
        <v>4.99</v>
      </c>
      <c r="C62">
        <f t="shared" si="0"/>
        <v>1.0232929922807521E-5</v>
      </c>
      <c r="D62">
        <f>DIC!O61</f>
        <v>9.9050169684633446E-5</v>
      </c>
      <c r="E62" s="31">
        <v>8.97254166666667</v>
      </c>
      <c r="F62">
        <f t="shared" si="1"/>
        <v>282.12254166666662</v>
      </c>
      <c r="G62">
        <f t="shared" si="2"/>
        <v>5.5593034520199515E-2</v>
      </c>
      <c r="H62">
        <f t="shared" si="3"/>
        <v>3.3545541413994525E-7</v>
      </c>
      <c r="I62">
        <f t="shared" si="4"/>
        <v>3.1521877556930712E-11</v>
      </c>
      <c r="J62">
        <f t="shared" si="5"/>
        <v>9.590616861565849E-5</v>
      </c>
      <c r="K62">
        <f t="shared" si="6"/>
        <v>3.1439913841132135E-6</v>
      </c>
      <c r="L62">
        <f t="shared" si="7"/>
        <v>9.6848617353641936E-12</v>
      </c>
      <c r="M62">
        <f t="shared" si="8"/>
        <v>9.9050169684633432E-5</v>
      </c>
      <c r="N62" s="25">
        <f t="shared" si="9"/>
        <v>1725.1472139160051</v>
      </c>
      <c r="O62" s="28">
        <f t="shared" si="10"/>
        <v>4.3128680347900126</v>
      </c>
      <c r="P62" s="1">
        <f t="shared" si="11"/>
        <v>1.1518330850740586</v>
      </c>
      <c r="U62" s="1"/>
      <c r="V62" s="1"/>
      <c r="W62" s="5"/>
      <c r="X62" s="25"/>
      <c r="AA62"/>
      <c r="AB62" s="1"/>
    </row>
    <row r="63" spans="1:28" ht="15" x14ac:dyDescent="0.2">
      <c r="A63" s="29" t="s">
        <v>149</v>
      </c>
      <c r="B63" s="31">
        <v>5.19</v>
      </c>
      <c r="C63">
        <f t="shared" si="0"/>
        <v>6.456542290346543E-6</v>
      </c>
      <c r="D63">
        <f>DIC!O62</f>
        <v>1.3730692412700652E-4</v>
      </c>
      <c r="E63" s="31">
        <v>2</v>
      </c>
      <c r="F63">
        <f t="shared" si="1"/>
        <v>275.14999999999998</v>
      </c>
      <c r="G63">
        <f t="shared" si="2"/>
        <v>7.1743772542911699E-2</v>
      </c>
      <c r="H63">
        <f t="shared" si="3"/>
        <v>2.8081346341222542E-7</v>
      </c>
      <c r="I63">
        <f t="shared" si="4"/>
        <v>2.5339014130362006E-11</v>
      </c>
      <c r="J63">
        <f t="shared" si="5"/>
        <v>1.3158394031287859E-4</v>
      </c>
      <c r="K63">
        <f t="shared" si="6"/>
        <v>5.7229613540878291E-6</v>
      </c>
      <c r="L63">
        <f t="shared" si="7"/>
        <v>2.2460040079899146E-11</v>
      </c>
      <c r="M63">
        <f t="shared" si="8"/>
        <v>1.3730692412700649E-4</v>
      </c>
      <c r="N63" s="25">
        <f t="shared" si="9"/>
        <v>1834.0817000412828</v>
      </c>
      <c r="O63" s="28">
        <f t="shared" si="10"/>
        <v>4.5852042501032066</v>
      </c>
      <c r="P63" s="1">
        <f t="shared" si="11"/>
        <v>1.580323123157672</v>
      </c>
      <c r="U63" s="1"/>
      <c r="V63" s="1"/>
      <c r="W63" s="5"/>
      <c r="X63" s="25"/>
      <c r="AA63"/>
      <c r="AB63" s="1"/>
    </row>
    <row r="64" spans="1:28" ht="15" x14ac:dyDescent="0.2">
      <c r="A64" s="29" t="s">
        <v>150</v>
      </c>
      <c r="B64" s="31">
        <v>4.55</v>
      </c>
      <c r="C64">
        <f t="shared" si="0"/>
        <v>2.8183829312644511E-5</v>
      </c>
      <c r="D64">
        <f>DIC!O63</f>
        <v>2.0185321270461506E-4</v>
      </c>
      <c r="E64" s="31">
        <v>2</v>
      </c>
      <c r="F64">
        <f t="shared" si="1"/>
        <v>275.14999999999998</v>
      </c>
      <c r="G64">
        <f t="shared" si="2"/>
        <v>7.1743772542911699E-2</v>
      </c>
      <c r="H64">
        <f t="shared" si="3"/>
        <v>2.8081346341222542E-7</v>
      </c>
      <c r="I64">
        <f t="shared" si="4"/>
        <v>2.5339014130362006E-11</v>
      </c>
      <c r="J64">
        <f t="shared" si="5"/>
        <v>1.9986185975965479E-4</v>
      </c>
      <c r="K64">
        <f t="shared" si="6"/>
        <v>1.9913511546118218E-6</v>
      </c>
      <c r="L64">
        <f t="shared" si="7"/>
        <v>1.7903484471708594E-12</v>
      </c>
      <c r="M64">
        <f t="shared" si="8"/>
        <v>2.0185321270461506E-4</v>
      </c>
      <c r="N64" s="25">
        <f t="shared" si="9"/>
        <v>2785.7729343701931</v>
      </c>
      <c r="O64" s="28">
        <f t="shared" si="10"/>
        <v>6.9644323359254825</v>
      </c>
      <c r="P64" s="1">
        <f t="shared" si="11"/>
        <v>2.4003409357134537</v>
      </c>
      <c r="U64" s="1"/>
      <c r="V64" s="1"/>
      <c r="W64" s="5"/>
      <c r="X64" s="25"/>
      <c r="AA64"/>
      <c r="AB64" s="1"/>
    </row>
    <row r="65" spans="1:28" ht="15" x14ac:dyDescent="0.2">
      <c r="A65" s="29" t="s">
        <v>151</v>
      </c>
      <c r="B65" s="31">
        <v>5.21</v>
      </c>
      <c r="C65">
        <f t="shared" si="0"/>
        <v>6.1659500186148109E-6</v>
      </c>
      <c r="D65">
        <f>DIC!O64</f>
        <v>1.4092349127998457E-4</v>
      </c>
      <c r="E65" s="31">
        <v>11.219687499999999</v>
      </c>
      <c r="F65">
        <f t="shared" si="1"/>
        <v>284.3696875</v>
      </c>
      <c r="G65">
        <f t="shared" si="2"/>
        <v>5.1491728692105526E-2</v>
      </c>
      <c r="H65">
        <f t="shared" si="3"/>
        <v>3.526347961370343E-7</v>
      </c>
      <c r="I65">
        <f t="shared" si="4"/>
        <v>3.3608402675061751E-11</v>
      </c>
      <c r="J65">
        <f t="shared" si="5"/>
        <v>1.3329993735765951E-4</v>
      </c>
      <c r="K65">
        <f t="shared" si="6"/>
        <v>7.6235123692679083E-6</v>
      </c>
      <c r="L65">
        <f t="shared" si="7"/>
        <v>4.1553057149533745E-11</v>
      </c>
      <c r="M65">
        <f t="shared" si="8"/>
        <v>1.4092349127998454E-4</v>
      </c>
      <c r="N65" s="25">
        <f t="shared" si="9"/>
        <v>2588.7640742210397</v>
      </c>
      <c r="O65" s="28">
        <f t="shared" si="10"/>
        <v>6.4719101855525993</v>
      </c>
      <c r="P65" s="1">
        <f t="shared" si="11"/>
        <v>1.6009322476654908</v>
      </c>
      <c r="U65" s="1"/>
      <c r="V65" s="1"/>
      <c r="W65" s="5"/>
      <c r="X65" s="25"/>
      <c r="AA65"/>
      <c r="AB65" s="1"/>
    </row>
    <row r="66" spans="1:28" ht="15" x14ac:dyDescent="0.2">
      <c r="A66" s="29" t="s">
        <v>152</v>
      </c>
      <c r="B66" s="31">
        <v>5.82</v>
      </c>
      <c r="C66">
        <f t="shared" si="0"/>
        <v>1.5135612484362063E-6</v>
      </c>
      <c r="D66">
        <f>DIC!O65</f>
        <v>1.2483793148127667E-4</v>
      </c>
      <c r="E66" s="31">
        <v>9.7789583333333301</v>
      </c>
      <c r="F66">
        <f t="shared" si="1"/>
        <v>282.9289583333333</v>
      </c>
      <c r="G66">
        <f t="shared" si="2"/>
        <v>5.4068628841100461E-2</v>
      </c>
      <c r="H66">
        <f t="shared" si="3"/>
        <v>3.4165905477180124E-7</v>
      </c>
      <c r="I66">
        <f t="shared" si="4"/>
        <v>3.2266351692942915E-11</v>
      </c>
      <c r="J66">
        <f t="shared" si="5"/>
        <v>1.0184726487153435E-4</v>
      </c>
      <c r="K66">
        <f t="shared" si="6"/>
        <v>2.2990176501316741E-5</v>
      </c>
      <c r="L66">
        <f t="shared" si="7"/>
        <v>4.9010842556965984E-10</v>
      </c>
      <c r="M66">
        <f t="shared" si="8"/>
        <v>1.2483793148127667E-4</v>
      </c>
      <c r="N66" s="25">
        <f t="shared" si="9"/>
        <v>1883.6665004183496</v>
      </c>
      <c r="O66" s="28">
        <f t="shared" si="10"/>
        <v>4.7091662510458745</v>
      </c>
      <c r="P66" s="1">
        <f t="shared" si="11"/>
        <v>1.2231856511071275</v>
      </c>
      <c r="U66" s="1"/>
      <c r="V66" s="1"/>
      <c r="W66" s="5"/>
      <c r="X66" s="25"/>
      <c r="AA66"/>
      <c r="AB66" s="1"/>
    </row>
    <row r="67" spans="1:28" ht="15" x14ac:dyDescent="0.2">
      <c r="A67" s="29" t="s">
        <v>153</v>
      </c>
      <c r="B67" s="31">
        <v>5.14</v>
      </c>
      <c r="C67">
        <f t="shared" si="0"/>
        <v>7.2443596007498957E-6</v>
      </c>
      <c r="D67">
        <f>DIC!O66</f>
        <v>2.3399766160572735E-4</v>
      </c>
      <c r="E67" s="31">
        <v>9.7107708333333296</v>
      </c>
      <c r="F67">
        <f t="shared" si="1"/>
        <v>282.86077083333333</v>
      </c>
      <c r="G67">
        <f t="shared" si="2"/>
        <v>5.4195179748392074E-2</v>
      </c>
      <c r="H67">
        <f t="shared" si="3"/>
        <v>3.4113605038010017E-7</v>
      </c>
      <c r="I67">
        <f t="shared" si="4"/>
        <v>3.2203206862933819E-11</v>
      </c>
      <c r="J67">
        <f t="shared" si="5"/>
        <v>2.2347423892695798E-4</v>
      </c>
      <c r="K67">
        <f t="shared" si="6"/>
        <v>1.0523375899416954E-5</v>
      </c>
      <c r="L67">
        <f t="shared" si="7"/>
        <v>4.6779352442727549E-11</v>
      </c>
      <c r="M67">
        <f t="shared" si="8"/>
        <v>2.3399766160572737E-4</v>
      </c>
      <c r="N67" s="25">
        <f t="shared" si="9"/>
        <v>4123.5076618338608</v>
      </c>
      <c r="O67" s="28">
        <f t="shared" si="10"/>
        <v>10.308769154584652</v>
      </c>
      <c r="P67" s="1">
        <f t="shared" si="11"/>
        <v>2.683925609512765</v>
      </c>
      <c r="U67" s="1"/>
      <c r="V67" s="1"/>
      <c r="W67" s="5"/>
      <c r="X67" s="25"/>
      <c r="AA67"/>
      <c r="AB67" s="1"/>
    </row>
    <row r="68" spans="1:28" ht="15" x14ac:dyDescent="0.2">
      <c r="A68" s="29" t="s">
        <v>154</v>
      </c>
      <c r="B68" s="31">
        <v>4.8600000000000003</v>
      </c>
      <c r="C68">
        <f t="shared" si="0"/>
        <v>1.3803842646028827E-5</v>
      </c>
      <c r="D68">
        <f>DIC!O67</f>
        <v>2.4806422886276326E-4</v>
      </c>
      <c r="E68" s="31">
        <v>11.616354166666699</v>
      </c>
      <c r="F68">
        <f t="shared" si="1"/>
        <v>284.7663541666667</v>
      </c>
      <c r="G68">
        <f t="shared" si="2"/>
        <v>5.0813573984462311E-2</v>
      </c>
      <c r="H68">
        <f t="shared" si="3"/>
        <v>3.5562940429351812E-7</v>
      </c>
      <c r="I68">
        <f t="shared" si="4"/>
        <v>3.3980379300947643E-11</v>
      </c>
      <c r="J68">
        <f t="shared" si="5"/>
        <v>2.4183383091189113E-4</v>
      </c>
      <c r="K68">
        <f t="shared" si="6"/>
        <v>6.2303826137830659E-6</v>
      </c>
      <c r="L68">
        <f t="shared" si="7"/>
        <v>1.5337089087094482E-11</v>
      </c>
      <c r="M68">
        <f t="shared" si="8"/>
        <v>2.4806422886276326E-4</v>
      </c>
      <c r="N68" s="25">
        <f t="shared" si="9"/>
        <v>4759.2367934174181</v>
      </c>
      <c r="O68" s="28">
        <f t="shared" si="10"/>
        <v>11.898091983543544</v>
      </c>
      <c r="P68" s="1">
        <f t="shared" si="11"/>
        <v>2.9044243092518123</v>
      </c>
      <c r="U68" s="1"/>
      <c r="V68" s="1"/>
      <c r="W68" s="5"/>
      <c r="X68" s="25"/>
      <c r="AA68"/>
      <c r="AB68" s="1"/>
    </row>
    <row r="69" spans="1:28" ht="15" x14ac:dyDescent="0.2">
      <c r="A69" s="29" t="s">
        <v>155</v>
      </c>
      <c r="B69" s="31">
        <v>4.8</v>
      </c>
      <c r="C69">
        <f t="shared" si="0"/>
        <v>1.5848931924611131E-5</v>
      </c>
      <c r="D69">
        <f>DIC!O68</f>
        <v>1.5664218578722777E-4</v>
      </c>
      <c r="E69" s="31">
        <v>2</v>
      </c>
      <c r="F69">
        <f t="shared" si="1"/>
        <v>275.14999999999998</v>
      </c>
      <c r="G69">
        <f t="shared" si="2"/>
        <v>7.1743772542911699E-2</v>
      </c>
      <c r="H69">
        <f t="shared" si="3"/>
        <v>2.8081346341222542E-7</v>
      </c>
      <c r="I69">
        <f t="shared" si="4"/>
        <v>2.5339014130362006E-11</v>
      </c>
      <c r="J69">
        <f t="shared" si="5"/>
        <v>1.5391509352687794E-4</v>
      </c>
      <c r="K69">
        <f t="shared" si="6"/>
        <v>2.727087900326108E-6</v>
      </c>
      <c r="L69">
        <f t="shared" si="7"/>
        <v>4.3600237018998981E-12</v>
      </c>
      <c r="M69">
        <f t="shared" si="8"/>
        <v>1.5664218578722775E-4</v>
      </c>
      <c r="N69" s="25">
        <f t="shared" si="9"/>
        <v>2145.3443005776921</v>
      </c>
      <c r="O69" s="28">
        <f t="shared" si="10"/>
        <v>5.3633607514442305</v>
      </c>
      <c r="P69" s="1">
        <f t="shared" si="11"/>
        <v>1.8485202732578039</v>
      </c>
      <c r="U69" s="1"/>
      <c r="V69" s="1"/>
      <c r="W69" s="5"/>
      <c r="X69" s="25"/>
      <c r="AA69"/>
      <c r="AB69" s="1"/>
    </row>
    <row r="70" spans="1:28" ht="15" x14ac:dyDescent="0.2">
      <c r="A70" s="29" t="s">
        <v>156</v>
      </c>
      <c r="B70" s="31">
        <v>5.3</v>
      </c>
      <c r="C70">
        <f t="shared" si="0"/>
        <v>5.011872336272719E-6</v>
      </c>
      <c r="D70">
        <f>DIC!O69</f>
        <v>1.1871842503611606E-4</v>
      </c>
      <c r="E70" s="31">
        <v>13.098437499999999</v>
      </c>
      <c r="F70">
        <f t="shared" si="1"/>
        <v>286.24843749999997</v>
      </c>
      <c r="G70">
        <f t="shared" si="2"/>
        <v>4.8391962393845592E-2</v>
      </c>
      <c r="H70">
        <f t="shared" si="3"/>
        <v>3.6669956694134994E-7</v>
      </c>
      <c r="I70">
        <f t="shared" si="4"/>
        <v>3.5378597631790706E-11</v>
      </c>
      <c r="J70">
        <f t="shared" si="5"/>
        <v>1.1062440264778876E-4</v>
      </c>
      <c r="K70">
        <f t="shared" si="6"/>
        <v>8.0939652533644037E-6</v>
      </c>
      <c r="L70">
        <f t="shared" si="7"/>
        <v>5.7134962890421946E-11</v>
      </c>
      <c r="M70">
        <f t="shared" si="8"/>
        <v>1.1871842503611604E-4</v>
      </c>
      <c r="N70" s="25">
        <f t="shared" si="9"/>
        <v>2286.0077826035381</v>
      </c>
      <c r="O70" s="28">
        <f t="shared" si="10"/>
        <v>5.7150194565088448</v>
      </c>
      <c r="P70" s="1">
        <f t="shared" si="11"/>
        <v>1.3285990757999431</v>
      </c>
      <c r="U70" s="1"/>
      <c r="V70" s="1"/>
      <c r="W70" s="5"/>
      <c r="X70" s="25"/>
      <c r="AA70"/>
      <c r="AB70" s="1"/>
    </row>
    <row r="71" spans="1:28" ht="15" x14ac:dyDescent="0.2">
      <c r="A71" s="29" t="s">
        <v>157</v>
      </c>
      <c r="B71" s="31">
        <v>5.26</v>
      </c>
      <c r="C71">
        <f t="shared" si="0"/>
        <v>5.4954087385762383E-6</v>
      </c>
      <c r="D71">
        <f>DIC!O70</f>
        <v>2.6505073022819233E-4</v>
      </c>
      <c r="E71" s="31">
        <v>2</v>
      </c>
      <c r="F71">
        <f t="shared" si="1"/>
        <v>275.14999999999998</v>
      </c>
      <c r="G71">
        <f t="shared" si="2"/>
        <v>7.1743772542911699E-2</v>
      </c>
      <c r="H71">
        <f t="shared" si="3"/>
        <v>2.8081346341222542E-7</v>
      </c>
      <c r="I71">
        <f t="shared" si="4"/>
        <v>2.5339014130362006E-11</v>
      </c>
      <c r="J71">
        <f t="shared" si="5"/>
        <v>2.5216512135794918E-4</v>
      </c>
      <c r="K71">
        <f t="shared" si="6"/>
        <v>1.2885549455714518E-5</v>
      </c>
      <c r="L71">
        <f t="shared" si="7"/>
        <v>5.9414528612556086E-11</v>
      </c>
      <c r="M71">
        <f t="shared" si="8"/>
        <v>2.6505073022819233E-4</v>
      </c>
      <c r="N71" s="25">
        <f t="shared" si="9"/>
        <v>3514.8015279949636</v>
      </c>
      <c r="O71" s="28">
        <f t="shared" si="10"/>
        <v>8.7870038199874099</v>
      </c>
      <c r="P71" s="1">
        <f t="shared" si="11"/>
        <v>3.0285031075089694</v>
      </c>
      <c r="U71" s="1"/>
      <c r="V71" s="1"/>
      <c r="W71" s="5"/>
      <c r="X71" s="25"/>
      <c r="AA71"/>
      <c r="AB71" s="1"/>
    </row>
    <row r="72" spans="1:28" ht="15" x14ac:dyDescent="0.2">
      <c r="A72" s="29" t="s">
        <v>158</v>
      </c>
      <c r="B72" s="31">
        <v>4.93</v>
      </c>
      <c r="C72">
        <f t="shared" ref="C72:C135" si="12">10^-B72</f>
        <v>1.1748975549395286E-5</v>
      </c>
      <c r="D72">
        <f>DIC!O71</f>
        <v>1.6753283113074612E-4</v>
      </c>
      <c r="E72" s="31">
        <v>2</v>
      </c>
      <c r="F72">
        <f t="shared" ref="F72:F135" si="13">E72+273.15</f>
        <v>275.14999999999998</v>
      </c>
      <c r="G72">
        <f t="shared" ref="G72:G135" si="14">EXP(-58.0931+(90.5069*(100/F72))+(22.294*LN(F72/100)))</f>
        <v>7.1743772542911699E-2</v>
      </c>
      <c r="H72">
        <f t="shared" ref="H72:H135" si="15">10^((-3404.71/F72)+14.8435-0.032786*F72)</f>
        <v>2.8081346341222542E-7</v>
      </c>
      <c r="I72">
        <f t="shared" ref="I72:I135" si="16">10^((-2902.39/F72)+6.498-0.02379*F72)</f>
        <v>2.5339014130362006E-11</v>
      </c>
      <c r="J72">
        <f t="shared" ref="J72:J135" si="17">D72/(1+(H72/C72)+(H72*I72/C72^2))</f>
        <v>1.6362207479167073E-4</v>
      </c>
      <c r="K72">
        <f t="shared" ref="K72:K135" si="18">J72*H72/C72</f>
        <v>3.9107479047658861E-6</v>
      </c>
      <c r="L72">
        <f t="shared" ref="L72:L135" si="19">K72*I72/C72</f>
        <v>8.4343095278844765E-12</v>
      </c>
      <c r="M72">
        <f t="shared" ref="M72:M135" si="20">SUM(J72:L72)</f>
        <v>1.6753283113074614E-4</v>
      </c>
      <c r="N72" s="25">
        <f t="shared" ref="N72:N135" si="21">J72/G72*1000000</f>
        <v>2280.6449813299737</v>
      </c>
      <c r="O72" s="28">
        <f t="shared" ref="O72:O135" si="22">N72/$Q$2</f>
        <v>5.7016124533249339</v>
      </c>
      <c r="P72" s="1">
        <f t="shared" ref="P72:P135" si="23">J72*1000*12.01</f>
        <v>1.9651011182479654</v>
      </c>
      <c r="U72" s="1"/>
      <c r="V72" s="1"/>
      <c r="W72" s="5"/>
      <c r="X72" s="25"/>
      <c r="AA72"/>
      <c r="AB72" s="1"/>
    </row>
    <row r="73" spans="1:28" ht="15" x14ac:dyDescent="0.2">
      <c r="A73" s="29" t="s">
        <v>159</v>
      </c>
      <c r="B73" s="31">
        <v>5.25</v>
      </c>
      <c r="C73">
        <f t="shared" si="12"/>
        <v>5.6234132519034836E-6</v>
      </c>
      <c r="D73">
        <f>DIC!O72</f>
        <v>1.3847568870192033E-4</v>
      </c>
      <c r="E73" s="31">
        <v>2</v>
      </c>
      <c r="F73">
        <f t="shared" si="13"/>
        <v>275.14999999999998</v>
      </c>
      <c r="G73">
        <f t="shared" si="14"/>
        <v>7.1743772542911699E-2</v>
      </c>
      <c r="H73">
        <f t="shared" si="15"/>
        <v>2.8081346341222542E-7</v>
      </c>
      <c r="I73">
        <f t="shared" si="16"/>
        <v>2.5339014130362006E-11</v>
      </c>
      <c r="J73">
        <f t="shared" si="17"/>
        <v>1.3188955871351778E-4</v>
      </c>
      <c r="K73">
        <f t="shared" si="18"/>
        <v>6.5861003115352489E-6</v>
      </c>
      <c r="L73">
        <f t="shared" si="19"/>
        <v>2.9676867301453233E-11</v>
      </c>
      <c r="M73">
        <f t="shared" si="20"/>
        <v>1.3847568870192033E-4</v>
      </c>
      <c r="N73" s="25">
        <f t="shared" si="21"/>
        <v>1838.3415596751818</v>
      </c>
      <c r="O73" s="28">
        <f t="shared" si="22"/>
        <v>4.5958538991879543</v>
      </c>
      <c r="P73" s="1">
        <f t="shared" si="23"/>
        <v>1.5839936001493482</v>
      </c>
      <c r="U73" s="1"/>
      <c r="V73" s="1"/>
      <c r="W73" s="5"/>
      <c r="X73" s="25"/>
      <c r="AA73"/>
      <c r="AB73" s="1"/>
    </row>
    <row r="74" spans="1:28" ht="15" x14ac:dyDescent="0.2">
      <c r="A74" s="29" t="s">
        <v>160</v>
      </c>
      <c r="B74" s="31">
        <v>5.31</v>
      </c>
      <c r="C74">
        <f t="shared" si="12"/>
        <v>4.8977881936844583E-6</v>
      </c>
      <c r="D74">
        <f>DIC!O73</f>
        <v>9.0219009305796583E-5</v>
      </c>
      <c r="E74" s="31">
        <v>8.5362291666666703</v>
      </c>
      <c r="F74">
        <f t="shared" si="13"/>
        <v>281.68622916666664</v>
      </c>
      <c r="G74">
        <f t="shared" si="14"/>
        <v>5.6443693193751719E-2</v>
      </c>
      <c r="H74">
        <f t="shared" si="15"/>
        <v>3.3208323147108596E-7</v>
      </c>
      <c r="I74">
        <f t="shared" si="16"/>
        <v>3.1121249635600544E-11</v>
      </c>
      <c r="J74">
        <f t="shared" si="17"/>
        <v>8.4490302804590375E-5</v>
      </c>
      <c r="K74">
        <f t="shared" si="18"/>
        <v>5.7286701004136082E-6</v>
      </c>
      <c r="L74">
        <f t="shared" si="19"/>
        <v>3.6400792607745568E-11</v>
      </c>
      <c r="M74">
        <f t="shared" si="20"/>
        <v>9.0219009305796583E-5</v>
      </c>
      <c r="N74" s="25">
        <f t="shared" si="21"/>
        <v>1496.8953664063818</v>
      </c>
      <c r="O74" s="28">
        <f t="shared" si="22"/>
        <v>3.7422384160159545</v>
      </c>
      <c r="P74" s="1">
        <f t="shared" si="23"/>
        <v>1.0147285366831302</v>
      </c>
      <c r="U74" s="1"/>
      <c r="V74" s="1"/>
      <c r="W74" s="5"/>
      <c r="X74" s="25"/>
      <c r="AA74"/>
      <c r="AB74" s="1"/>
    </row>
    <row r="75" spans="1:28" ht="15" x14ac:dyDescent="0.2">
      <c r="A75" s="29" t="s">
        <v>161</v>
      </c>
      <c r="B75" s="31">
        <v>4.54</v>
      </c>
      <c r="C75">
        <f t="shared" si="12"/>
        <v>2.8840315031266029E-5</v>
      </c>
      <c r="D75">
        <f>DIC!O74</f>
        <v>2.0175657632103992E-4</v>
      </c>
      <c r="E75" s="31">
        <v>8.7147083333333306</v>
      </c>
      <c r="F75">
        <f t="shared" si="13"/>
        <v>281.86470833333328</v>
      </c>
      <c r="G75">
        <f t="shared" si="14"/>
        <v>5.6093477560229019E-2</v>
      </c>
      <c r="H75">
        <f t="shared" si="15"/>
        <v>3.3346391953135367E-7</v>
      </c>
      <c r="I75">
        <f t="shared" si="16"/>
        <v>3.1284941973115309E-11</v>
      </c>
      <c r="J75">
        <f t="shared" si="17"/>
        <v>1.9945044344083049E-4</v>
      </c>
      <c r="K75">
        <f t="shared" si="18"/>
        <v>2.3061303786017027E-6</v>
      </c>
      <c r="L75">
        <f t="shared" si="19"/>
        <v>2.5016077320506854E-12</v>
      </c>
      <c r="M75">
        <f t="shared" si="20"/>
        <v>2.0175657632103992E-4</v>
      </c>
      <c r="N75" s="25">
        <f t="shared" si="21"/>
        <v>3555.6797709087546</v>
      </c>
      <c r="O75" s="28">
        <f t="shared" si="22"/>
        <v>8.8891994272718868</v>
      </c>
      <c r="P75" s="1">
        <f t="shared" si="23"/>
        <v>2.395399825724374</v>
      </c>
      <c r="U75" s="1"/>
      <c r="V75" s="1"/>
      <c r="W75" s="5"/>
      <c r="X75" s="25"/>
      <c r="AA75"/>
      <c r="AB75" s="1"/>
    </row>
    <row r="76" spans="1:28" ht="15" x14ac:dyDescent="0.2">
      <c r="A76" s="29" t="s">
        <v>162</v>
      </c>
      <c r="B76" s="31">
        <v>4.9400000000000004</v>
      </c>
      <c r="C76">
        <f t="shared" si="12"/>
        <v>1.1481536214968799E-5</v>
      </c>
      <c r="D76">
        <f>DIC!O75</f>
        <v>1.4734106188723589E-4</v>
      </c>
      <c r="E76" s="31">
        <v>2</v>
      </c>
      <c r="F76">
        <f t="shared" si="13"/>
        <v>275.14999999999998</v>
      </c>
      <c r="G76">
        <f t="shared" si="14"/>
        <v>7.1743772542911699E-2</v>
      </c>
      <c r="H76">
        <f t="shared" si="15"/>
        <v>2.8081346341222542E-7</v>
      </c>
      <c r="I76">
        <f t="shared" si="16"/>
        <v>2.5339014130362006E-11</v>
      </c>
      <c r="J76">
        <f t="shared" si="17"/>
        <v>1.4382344473118494E-4</v>
      </c>
      <c r="K76">
        <f t="shared" si="18"/>
        <v>3.5176093929126346E-6</v>
      </c>
      <c r="L76">
        <f t="shared" si="19"/>
        <v>7.7631383504153834E-12</v>
      </c>
      <c r="M76">
        <f t="shared" si="20"/>
        <v>1.4734106188723592E-4</v>
      </c>
      <c r="N76" s="25">
        <f t="shared" si="21"/>
        <v>2004.6819345213639</v>
      </c>
      <c r="O76" s="28">
        <f t="shared" si="22"/>
        <v>5.0117048363034096</v>
      </c>
      <c r="P76" s="1">
        <f t="shared" si="23"/>
        <v>1.727319571221531</v>
      </c>
      <c r="U76" s="1"/>
      <c r="V76" s="1"/>
      <c r="W76" s="5"/>
      <c r="X76" s="25"/>
      <c r="AA76"/>
      <c r="AB76" s="1"/>
    </row>
    <row r="77" spans="1:28" ht="15" x14ac:dyDescent="0.2">
      <c r="A77" s="29" t="s">
        <v>163</v>
      </c>
      <c r="B77" s="31">
        <v>5.03</v>
      </c>
      <c r="C77">
        <f t="shared" si="12"/>
        <v>9.3325430079698941E-6</v>
      </c>
      <c r="D77">
        <f>DIC!O76</f>
        <v>1.141352035583039E-4</v>
      </c>
      <c r="E77" s="31">
        <v>2</v>
      </c>
      <c r="F77">
        <f t="shared" si="13"/>
        <v>275.14999999999998</v>
      </c>
      <c r="G77">
        <f t="shared" si="14"/>
        <v>7.1743772542911699E-2</v>
      </c>
      <c r="H77">
        <f t="shared" si="15"/>
        <v>2.8081346341222542E-7</v>
      </c>
      <c r="I77">
        <f t="shared" si="16"/>
        <v>2.5339014130362006E-11</v>
      </c>
      <c r="J77">
        <f t="shared" si="17"/>
        <v>1.1080121855696312E-4</v>
      </c>
      <c r="K77">
        <f t="shared" si="18"/>
        <v>3.333975949181731E-6</v>
      </c>
      <c r="L77">
        <f t="shared" si="19"/>
        <v>9.0521590540175608E-12</v>
      </c>
      <c r="M77">
        <f t="shared" si="20"/>
        <v>1.1413520355830391E-4</v>
      </c>
      <c r="N77" s="25">
        <f t="shared" si="21"/>
        <v>1544.4018990037109</v>
      </c>
      <c r="O77" s="28">
        <f t="shared" si="22"/>
        <v>3.8610047475092775</v>
      </c>
      <c r="P77" s="1">
        <f t="shared" si="23"/>
        <v>1.330722634869127</v>
      </c>
      <c r="U77" s="1"/>
      <c r="V77" s="1"/>
      <c r="W77" s="5"/>
      <c r="X77" s="25"/>
      <c r="AA77"/>
      <c r="AB77" s="1"/>
    </row>
    <row r="78" spans="1:28" ht="15" x14ac:dyDescent="0.2">
      <c r="A78" s="29" t="s">
        <v>164</v>
      </c>
      <c r="B78" s="31">
        <v>5.43</v>
      </c>
      <c r="C78">
        <f t="shared" si="12"/>
        <v>3.7153522909717272E-6</v>
      </c>
      <c r="D78">
        <f>DIC!O77</f>
        <v>1.5526062066578946E-4</v>
      </c>
      <c r="E78" s="31">
        <v>10.7601041666667</v>
      </c>
      <c r="F78">
        <f t="shared" si="13"/>
        <v>283.91010416666666</v>
      </c>
      <c r="G78">
        <f t="shared" si="14"/>
        <v>5.2294037379951072E-2</v>
      </c>
      <c r="H78">
        <f t="shared" si="15"/>
        <v>3.4914986759939156E-7</v>
      </c>
      <c r="I78">
        <f t="shared" si="16"/>
        <v>3.3178719088324193E-11</v>
      </c>
      <c r="J78">
        <f t="shared" si="17"/>
        <v>1.419232756365548E-4</v>
      </c>
      <c r="K78">
        <f t="shared" si="18"/>
        <v>1.3337225925570283E-5</v>
      </c>
      <c r="L78">
        <f t="shared" si="19"/>
        <v>1.1910366440278394E-10</v>
      </c>
      <c r="M78">
        <f t="shared" si="20"/>
        <v>1.5526062066578949E-4</v>
      </c>
      <c r="N78" s="25">
        <f t="shared" si="21"/>
        <v>2713.9475693067548</v>
      </c>
      <c r="O78" s="28">
        <f t="shared" si="22"/>
        <v>6.7848689232668873</v>
      </c>
      <c r="P78" s="1">
        <f t="shared" si="23"/>
        <v>1.704498540395023</v>
      </c>
      <c r="U78" s="1"/>
      <c r="V78" s="1"/>
      <c r="W78" s="5"/>
      <c r="X78" s="25"/>
      <c r="AA78"/>
      <c r="AB78" s="1"/>
    </row>
    <row r="79" spans="1:28" ht="15" x14ac:dyDescent="0.2">
      <c r="A79" s="29" t="s">
        <v>165</v>
      </c>
      <c r="B79" s="31">
        <v>5.0999999999999996</v>
      </c>
      <c r="C79">
        <f t="shared" si="12"/>
        <v>7.9432823472428065E-6</v>
      </c>
      <c r="D79">
        <f>DIC!O78</f>
        <v>2.4791702159775928E-4</v>
      </c>
      <c r="E79" s="31">
        <v>14.093958333333299</v>
      </c>
      <c r="F79">
        <f t="shared" si="13"/>
        <v>287.2439583333333</v>
      </c>
      <c r="G79">
        <f t="shared" si="14"/>
        <v>4.6859420497275719E-2</v>
      </c>
      <c r="H79">
        <f t="shared" si="15"/>
        <v>3.7401924803552306E-7</v>
      </c>
      <c r="I79">
        <f t="shared" si="16"/>
        <v>3.632436322673404E-11</v>
      </c>
      <c r="J79">
        <f t="shared" si="17"/>
        <v>2.3676843669983568E-4</v>
      </c>
      <c r="K79">
        <f t="shared" si="18"/>
        <v>1.114853391605267E-5</v>
      </c>
      <c r="L79">
        <f t="shared" si="19"/>
        <v>5.0981870933094519E-11</v>
      </c>
      <c r="M79">
        <f t="shared" si="20"/>
        <v>2.4791702159775934E-4</v>
      </c>
      <c r="N79" s="25">
        <f t="shared" si="21"/>
        <v>5052.7393251395579</v>
      </c>
      <c r="O79" s="28">
        <f t="shared" si="22"/>
        <v>12.631848312848895</v>
      </c>
      <c r="P79" s="1">
        <f t="shared" si="23"/>
        <v>2.8435889247650268</v>
      </c>
      <c r="U79" s="1"/>
      <c r="V79" s="1"/>
      <c r="W79" s="5"/>
      <c r="X79" s="25"/>
      <c r="AA79"/>
      <c r="AB79" s="1"/>
    </row>
    <row r="80" spans="1:28" ht="15" x14ac:dyDescent="0.2">
      <c r="A80" s="29" t="s">
        <v>166</v>
      </c>
      <c r="B80" s="31">
        <v>5.49</v>
      </c>
      <c r="C80">
        <f t="shared" si="12"/>
        <v>3.2359365692962801E-6</v>
      </c>
      <c r="D80">
        <f>DIC!O79</f>
        <v>1.0403160956773055E-4</v>
      </c>
      <c r="E80" s="31">
        <v>7.1957500000000003</v>
      </c>
      <c r="F80">
        <f t="shared" si="13"/>
        <v>280.34574999999995</v>
      </c>
      <c r="G80">
        <f t="shared" si="14"/>
        <v>5.9176857184176916E-2</v>
      </c>
      <c r="H80">
        <f t="shared" si="15"/>
        <v>3.2166379593311636E-7</v>
      </c>
      <c r="I80">
        <f t="shared" si="16"/>
        <v>2.9900607503753674E-11</v>
      </c>
      <c r="J80">
        <f t="shared" si="17"/>
        <v>9.462541431151211E-5</v>
      </c>
      <c r="K80">
        <f t="shared" si="18"/>
        <v>9.4061083421681797E-6</v>
      </c>
      <c r="L80">
        <f t="shared" si="19"/>
        <v>8.6914050276985834E-11</v>
      </c>
      <c r="M80">
        <f t="shared" si="20"/>
        <v>1.0403160956773055E-4</v>
      </c>
      <c r="N80" s="25">
        <f t="shared" si="21"/>
        <v>1599.0273700579971</v>
      </c>
      <c r="O80" s="28">
        <f t="shared" si="22"/>
        <v>3.9975684251449928</v>
      </c>
      <c r="P80" s="1">
        <f t="shared" si="23"/>
        <v>1.1364512258812605</v>
      </c>
      <c r="U80" s="1"/>
      <c r="V80" s="1"/>
      <c r="W80" s="5"/>
      <c r="X80" s="25"/>
      <c r="AA80"/>
      <c r="AB80" s="1"/>
    </row>
    <row r="81" spans="1:28" ht="15" x14ac:dyDescent="0.2">
      <c r="A81" s="29" t="s">
        <v>167</v>
      </c>
      <c r="B81" s="31">
        <v>5.36</v>
      </c>
      <c r="C81">
        <f t="shared" si="12"/>
        <v>4.3651583224016507E-6</v>
      </c>
      <c r="D81">
        <f>DIC!O80</f>
        <v>8.8470578892893553E-5</v>
      </c>
      <c r="E81" s="31">
        <v>5.6082812500000001</v>
      </c>
      <c r="F81">
        <f t="shared" si="13"/>
        <v>278.75828124999998</v>
      </c>
      <c r="G81">
        <f t="shared" si="14"/>
        <v>6.2663663310039239E-2</v>
      </c>
      <c r="H81">
        <f t="shared" si="15"/>
        <v>3.0923423494787553E-7</v>
      </c>
      <c r="I81">
        <f t="shared" si="16"/>
        <v>2.8476615729370921E-11</v>
      </c>
      <c r="J81">
        <f t="shared" si="17"/>
        <v>8.2617775964894497E-5</v>
      </c>
      <c r="K81">
        <f t="shared" si="18"/>
        <v>5.8527647468105655E-6</v>
      </c>
      <c r="L81">
        <f t="shared" si="19"/>
        <v>3.8181188479238363E-11</v>
      </c>
      <c r="M81">
        <f t="shared" si="20"/>
        <v>8.847057889289354E-5</v>
      </c>
      <c r="N81" s="25">
        <f t="shared" si="21"/>
        <v>1318.4319524399468</v>
      </c>
      <c r="O81" s="28">
        <f t="shared" si="22"/>
        <v>3.296079881099867</v>
      </c>
      <c r="P81" s="1">
        <f t="shared" si="23"/>
        <v>0.99223948933838291</v>
      </c>
      <c r="U81" s="1"/>
      <c r="V81" s="1"/>
      <c r="W81" s="5"/>
      <c r="X81" s="25"/>
      <c r="AA81"/>
      <c r="AB81" s="1"/>
    </row>
    <row r="82" spans="1:28" ht="15" x14ac:dyDescent="0.2">
      <c r="A82" s="29" t="s">
        <v>168</v>
      </c>
      <c r="B82" s="31">
        <v>4.96</v>
      </c>
      <c r="C82">
        <f t="shared" si="12"/>
        <v>1.0964781961431843E-5</v>
      </c>
      <c r="D82">
        <f>DIC!O81</f>
        <v>1.1525465643819011E-4</v>
      </c>
      <c r="E82" s="31">
        <v>2</v>
      </c>
      <c r="F82">
        <f t="shared" si="13"/>
        <v>275.14999999999998</v>
      </c>
      <c r="G82">
        <f t="shared" si="14"/>
        <v>7.1743772542911699E-2</v>
      </c>
      <c r="H82">
        <f t="shared" si="15"/>
        <v>2.8081346341222542E-7</v>
      </c>
      <c r="I82">
        <f t="shared" si="16"/>
        <v>2.5339014130362006E-11</v>
      </c>
      <c r="J82">
        <f t="shared" si="17"/>
        <v>1.123766290014657E-4</v>
      </c>
      <c r="K82">
        <f t="shared" si="18"/>
        <v>2.8780207857750637E-6</v>
      </c>
      <c r="L82">
        <f t="shared" si="19"/>
        <v>6.6509493407844095E-12</v>
      </c>
      <c r="M82">
        <f t="shared" si="20"/>
        <v>1.1525465643819009E-4</v>
      </c>
      <c r="N82" s="25">
        <f t="shared" si="21"/>
        <v>1566.3607448890496</v>
      </c>
      <c r="O82" s="28">
        <f t="shared" si="22"/>
        <v>3.9159018622226238</v>
      </c>
      <c r="P82" s="1">
        <f t="shared" si="23"/>
        <v>1.349643314307603</v>
      </c>
      <c r="U82" s="1"/>
      <c r="V82" s="1"/>
      <c r="W82" s="5"/>
      <c r="X82" s="25"/>
      <c r="AA82"/>
      <c r="AB82" s="1"/>
    </row>
    <row r="83" spans="1:28" ht="15" x14ac:dyDescent="0.2">
      <c r="A83" s="29" t="s">
        <v>169</v>
      </c>
      <c r="B83" s="31">
        <v>5.08</v>
      </c>
      <c r="C83">
        <f t="shared" si="12"/>
        <v>8.3176377110266992E-6</v>
      </c>
      <c r="D83">
        <f>DIC!O82</f>
        <v>1.3371558336282554E-4</v>
      </c>
      <c r="E83" s="31">
        <v>6.2139166666666696</v>
      </c>
      <c r="F83">
        <f t="shared" si="13"/>
        <v>279.36391666666663</v>
      </c>
      <c r="G83">
        <f t="shared" si="14"/>
        <v>6.1299897696248412E-2</v>
      </c>
      <c r="H83">
        <f t="shared" si="15"/>
        <v>3.139855781027457E-7</v>
      </c>
      <c r="I83">
        <f t="shared" si="16"/>
        <v>2.9016982727069382E-11</v>
      </c>
      <c r="J83">
        <f t="shared" si="17"/>
        <v>1.2885150340038906E-4</v>
      </c>
      <c r="K83">
        <f t="shared" si="18"/>
        <v>4.8640629936243197E-6</v>
      </c>
      <c r="L83">
        <f t="shared" si="19"/>
        <v>1.6968812152309096E-11</v>
      </c>
      <c r="M83">
        <f t="shared" si="20"/>
        <v>1.3371558336282554E-4</v>
      </c>
      <c r="N83" s="25">
        <f t="shared" si="21"/>
        <v>2101.9856189462262</v>
      </c>
      <c r="O83" s="28">
        <f t="shared" si="22"/>
        <v>5.254964047365565</v>
      </c>
      <c r="P83" s="1">
        <f t="shared" si="23"/>
        <v>1.5475065558386727</v>
      </c>
      <c r="U83" s="1"/>
      <c r="V83" s="1"/>
      <c r="W83" s="5"/>
      <c r="X83" s="25"/>
      <c r="AA83"/>
      <c r="AB83" s="1"/>
    </row>
    <row r="84" spans="1:28" ht="15" x14ac:dyDescent="0.2">
      <c r="A84" s="29" t="s">
        <v>170</v>
      </c>
      <c r="B84" s="31">
        <v>5.21</v>
      </c>
      <c r="C84">
        <f t="shared" si="12"/>
        <v>6.1659500186148109E-6</v>
      </c>
      <c r="D84">
        <f>DIC!O83</f>
        <v>1.950266306398076E-4</v>
      </c>
      <c r="E84" s="31">
        <v>2</v>
      </c>
      <c r="F84">
        <f t="shared" si="13"/>
        <v>275.14999999999998</v>
      </c>
      <c r="G84">
        <f t="shared" si="14"/>
        <v>7.1743772542911699E-2</v>
      </c>
      <c r="H84">
        <f t="shared" si="15"/>
        <v>2.8081346341222542E-7</v>
      </c>
      <c r="I84">
        <f t="shared" si="16"/>
        <v>2.5339014130362006E-11</v>
      </c>
      <c r="J84">
        <f t="shared" si="17"/>
        <v>1.8653146573753012E-4</v>
      </c>
      <c r="K84">
        <f t="shared" si="18"/>
        <v>8.4951299914821653E-6</v>
      </c>
      <c r="L84">
        <f t="shared" si="19"/>
        <v>3.4910795294086204E-11</v>
      </c>
      <c r="M84">
        <f t="shared" si="20"/>
        <v>1.9502663063980757E-4</v>
      </c>
      <c r="N84" s="25">
        <f t="shared" si="21"/>
        <v>2599.9673438689206</v>
      </c>
      <c r="O84" s="28">
        <f t="shared" si="22"/>
        <v>6.4999183596723018</v>
      </c>
      <c r="P84" s="1">
        <f t="shared" si="23"/>
        <v>2.2402429035077369</v>
      </c>
      <c r="U84" s="1"/>
      <c r="V84" s="1"/>
      <c r="W84" s="5"/>
      <c r="X84" s="25"/>
      <c r="AA84"/>
      <c r="AB84" s="1"/>
    </row>
    <row r="85" spans="1:28" ht="15" x14ac:dyDescent="0.2">
      <c r="A85" s="29" t="s">
        <v>171</v>
      </c>
      <c r="B85" s="31">
        <v>5.33</v>
      </c>
      <c r="C85">
        <f t="shared" si="12"/>
        <v>4.6773514128719787E-6</v>
      </c>
      <c r="D85">
        <f>DIC!O84</f>
        <v>1.0123412090708572E-4</v>
      </c>
      <c r="E85" s="31">
        <v>2</v>
      </c>
      <c r="F85">
        <f t="shared" si="13"/>
        <v>275.14999999999998</v>
      </c>
      <c r="G85">
        <f t="shared" si="14"/>
        <v>7.1743772542911699E-2</v>
      </c>
      <c r="H85">
        <f t="shared" si="15"/>
        <v>2.8081346341222542E-7</v>
      </c>
      <c r="I85">
        <f t="shared" si="16"/>
        <v>2.5339014130362006E-11</v>
      </c>
      <c r="J85">
        <f t="shared" si="17"/>
        <v>9.5500537999034703E-5</v>
      </c>
      <c r="K85">
        <f t="shared" si="18"/>
        <v>5.7335518471923273E-6</v>
      </c>
      <c r="L85">
        <f t="shared" si="19"/>
        <v>3.10608586888201E-11</v>
      </c>
      <c r="M85">
        <f t="shared" si="20"/>
        <v>1.0123412090708572E-4</v>
      </c>
      <c r="N85" s="25">
        <f t="shared" si="21"/>
        <v>1331.1334853755216</v>
      </c>
      <c r="O85" s="28">
        <f t="shared" si="22"/>
        <v>3.3278337134388041</v>
      </c>
      <c r="P85" s="1">
        <f t="shared" si="23"/>
        <v>1.1469614613684067</v>
      </c>
      <c r="U85" s="1"/>
      <c r="V85" s="1"/>
      <c r="W85" s="5"/>
      <c r="X85" s="25"/>
      <c r="AA85"/>
      <c r="AB85" s="1"/>
    </row>
    <row r="86" spans="1:28" ht="15" x14ac:dyDescent="0.2">
      <c r="A86" s="29" t="s">
        <v>172</v>
      </c>
      <c r="B86" s="31">
        <v>4.96</v>
      </c>
      <c r="C86">
        <f t="shared" si="12"/>
        <v>1.0964781961431843E-5</v>
      </c>
      <c r="D86">
        <f>DIC!O85</f>
        <v>1.4767579937321251E-4</v>
      </c>
      <c r="E86" s="31">
        <v>13.2303125</v>
      </c>
      <c r="F86">
        <f t="shared" si="13"/>
        <v>286.3803125</v>
      </c>
      <c r="G86">
        <f t="shared" si="14"/>
        <v>4.8184739274933913E-2</v>
      </c>
      <c r="H86">
        <f t="shared" si="15"/>
        <v>3.6767484204818881E-7</v>
      </c>
      <c r="I86">
        <f t="shared" si="16"/>
        <v>3.5503600218806492E-11</v>
      </c>
      <c r="J86">
        <f t="shared" si="17"/>
        <v>1.4288453060800068E-4</v>
      </c>
      <c r="K86">
        <f t="shared" si="18"/>
        <v>4.7912532512927347E-6</v>
      </c>
      <c r="L86">
        <f t="shared" si="19"/>
        <v>1.5513919071012748E-11</v>
      </c>
      <c r="M86">
        <f t="shared" si="20"/>
        <v>1.4767579937321248E-4</v>
      </c>
      <c r="N86" s="25">
        <f t="shared" si="21"/>
        <v>2965.3482151833568</v>
      </c>
      <c r="O86" s="28">
        <f t="shared" si="22"/>
        <v>7.4133705379583921</v>
      </c>
      <c r="P86" s="1">
        <f t="shared" si="23"/>
        <v>1.7160432126020881</v>
      </c>
      <c r="U86" s="1"/>
      <c r="V86" s="1"/>
      <c r="W86" s="5"/>
      <c r="X86" s="25"/>
      <c r="AA86"/>
      <c r="AB86" s="1"/>
    </row>
    <row r="87" spans="1:28" ht="15" x14ac:dyDescent="0.2">
      <c r="A87" s="29" t="s">
        <v>173</v>
      </c>
      <c r="B87" s="31">
        <v>5.05</v>
      </c>
      <c r="C87">
        <f t="shared" si="12"/>
        <v>8.9125093813374425E-6</v>
      </c>
      <c r="D87">
        <f>DIC!O86</f>
        <v>1.7956380340514166E-4</v>
      </c>
      <c r="E87" s="31">
        <v>2</v>
      </c>
      <c r="F87">
        <f t="shared" si="13"/>
        <v>275.14999999999998</v>
      </c>
      <c r="G87">
        <f t="shared" si="14"/>
        <v>7.1743772542911699E-2</v>
      </c>
      <c r="H87">
        <f t="shared" si="15"/>
        <v>2.8081346341222542E-7</v>
      </c>
      <c r="I87">
        <f t="shared" si="16"/>
        <v>2.5339014130362006E-11</v>
      </c>
      <c r="J87">
        <f t="shared" si="17"/>
        <v>1.7407894516947419E-4</v>
      </c>
      <c r="K87">
        <f t="shared" si="18"/>
        <v>5.4848426417982934E-6</v>
      </c>
      <c r="L87">
        <f t="shared" si="19"/>
        <v>1.5593869162635666E-11</v>
      </c>
      <c r="M87">
        <f t="shared" si="20"/>
        <v>1.7956380340514164E-4</v>
      </c>
      <c r="N87" s="25">
        <f t="shared" si="21"/>
        <v>2426.3979854886129</v>
      </c>
      <c r="O87" s="28">
        <f t="shared" si="22"/>
        <v>6.0659949637215327</v>
      </c>
      <c r="P87" s="1">
        <f t="shared" si="23"/>
        <v>2.0906881314853849</v>
      </c>
      <c r="U87" s="1"/>
      <c r="V87" s="1"/>
      <c r="W87" s="5"/>
      <c r="X87" s="25"/>
      <c r="AA87"/>
      <c r="AB87" s="1"/>
    </row>
    <row r="88" spans="1:28" ht="15" x14ac:dyDescent="0.2">
      <c r="A88" s="29" t="s">
        <v>174</v>
      </c>
      <c r="B88" s="31">
        <v>4.93</v>
      </c>
      <c r="C88">
        <f t="shared" si="12"/>
        <v>1.1748975549395286E-5</v>
      </c>
      <c r="D88">
        <f>DIC!O87</f>
        <v>1.3207204482304291E-4</v>
      </c>
      <c r="E88" s="31">
        <v>12.3645833333333</v>
      </c>
      <c r="F88">
        <f t="shared" si="13"/>
        <v>285.51458333333329</v>
      </c>
      <c r="G88">
        <f t="shared" si="14"/>
        <v>4.9569383596102141E-2</v>
      </c>
      <c r="H88">
        <f t="shared" si="15"/>
        <v>3.6124256602563901E-7</v>
      </c>
      <c r="I88">
        <f t="shared" si="16"/>
        <v>3.4684690406298176E-11</v>
      </c>
      <c r="J88">
        <f t="shared" si="17"/>
        <v>1.2813238159295028E-4</v>
      </c>
      <c r="K88">
        <f t="shared" si="18"/>
        <v>3.9396515996661584E-6</v>
      </c>
      <c r="L88">
        <f t="shared" si="19"/>
        <v>1.16304264545117E-11</v>
      </c>
      <c r="M88">
        <f t="shared" si="20"/>
        <v>1.3207204482304291E-4</v>
      </c>
      <c r="N88" s="25">
        <f t="shared" si="21"/>
        <v>2584.909722440565</v>
      </c>
      <c r="O88" s="28">
        <f t="shared" si="22"/>
        <v>6.4622743061014125</v>
      </c>
      <c r="P88" s="1">
        <f t="shared" si="23"/>
        <v>1.5388699029313329</v>
      </c>
      <c r="U88" s="1"/>
      <c r="V88" s="1"/>
      <c r="W88" s="5"/>
      <c r="X88" s="25"/>
      <c r="AA88"/>
      <c r="AB88" s="1"/>
    </row>
    <row r="89" spans="1:28" ht="15" x14ac:dyDescent="0.2">
      <c r="A89" s="29" t="s">
        <v>175</v>
      </c>
      <c r="B89" s="31">
        <v>5.65</v>
      </c>
      <c r="C89">
        <f t="shared" si="12"/>
        <v>2.2387211385683329E-6</v>
      </c>
      <c r="D89">
        <f>DIC!O88</f>
        <v>1.1224923250837481E-4</v>
      </c>
      <c r="E89" s="31">
        <v>2</v>
      </c>
      <c r="F89">
        <f t="shared" si="13"/>
        <v>275.14999999999998</v>
      </c>
      <c r="G89">
        <f t="shared" si="14"/>
        <v>7.1743772542911699E-2</v>
      </c>
      <c r="H89">
        <f t="shared" si="15"/>
        <v>2.8081346341222542E-7</v>
      </c>
      <c r="I89">
        <f t="shared" si="16"/>
        <v>2.5339014130362006E-11</v>
      </c>
      <c r="J89">
        <f t="shared" si="17"/>
        <v>9.9738424865881598E-5</v>
      </c>
      <c r="K89">
        <f t="shared" si="18"/>
        <v>1.2510666040246238E-5</v>
      </c>
      <c r="L89">
        <f t="shared" si="19"/>
        <v>1.4160224697604223E-10</v>
      </c>
      <c r="M89">
        <f t="shared" si="20"/>
        <v>1.1224923250837482E-4</v>
      </c>
      <c r="N89" s="25">
        <f t="shared" si="21"/>
        <v>1390.203237587285</v>
      </c>
      <c r="O89" s="28">
        <f t="shared" si="22"/>
        <v>3.4755080939682124</v>
      </c>
      <c r="P89" s="1">
        <f t="shared" si="23"/>
        <v>1.197858482639238</v>
      </c>
      <c r="U89" s="1"/>
      <c r="V89" s="1"/>
      <c r="W89" s="5"/>
      <c r="X89" s="25"/>
      <c r="AA89"/>
      <c r="AB89" s="1"/>
    </row>
    <row r="90" spans="1:28" ht="15" x14ac:dyDescent="0.2">
      <c r="A90" s="29" t="s">
        <v>176</v>
      </c>
      <c r="B90" s="31">
        <v>5</v>
      </c>
      <c r="C90">
        <f t="shared" si="12"/>
        <v>1.0000000000000001E-5</v>
      </c>
      <c r="D90">
        <f>DIC!O89</f>
        <v>1.2750347043620087E-4</v>
      </c>
      <c r="E90" s="31">
        <v>2</v>
      </c>
      <c r="F90">
        <f t="shared" si="13"/>
        <v>275.14999999999998</v>
      </c>
      <c r="G90">
        <f t="shared" si="14"/>
        <v>7.1743772542911699E-2</v>
      </c>
      <c r="H90">
        <f t="shared" si="15"/>
        <v>2.8081346341222542E-7</v>
      </c>
      <c r="I90">
        <f t="shared" si="16"/>
        <v>2.5339014130362006E-11</v>
      </c>
      <c r="J90">
        <f t="shared" si="17"/>
        <v>1.2402079083062925E-4</v>
      </c>
      <c r="K90">
        <f t="shared" si="18"/>
        <v>3.482670780827217E-6</v>
      </c>
      <c r="L90">
        <f t="shared" si="19"/>
        <v>8.824744412677973E-12</v>
      </c>
      <c r="M90">
        <f t="shared" si="20"/>
        <v>1.2750347043620087E-4</v>
      </c>
      <c r="N90" s="25">
        <f t="shared" si="21"/>
        <v>1728.6628014501105</v>
      </c>
      <c r="O90" s="28">
        <f t="shared" si="22"/>
        <v>4.3216570036252762</v>
      </c>
      <c r="P90" s="1">
        <f t="shared" si="23"/>
        <v>1.4894896978758574</v>
      </c>
      <c r="U90" s="1"/>
      <c r="V90" s="1"/>
      <c r="W90" s="5"/>
      <c r="X90" s="25"/>
      <c r="AA90"/>
      <c r="AB90" s="1"/>
    </row>
    <row r="91" spans="1:28" ht="15" x14ac:dyDescent="0.2">
      <c r="A91" s="29" t="s">
        <v>177</v>
      </c>
      <c r="B91" s="31">
        <v>5.55</v>
      </c>
      <c r="C91">
        <f t="shared" si="12"/>
        <v>2.818382931264453E-6</v>
      </c>
      <c r="D91">
        <f>DIC!O90</f>
        <v>1.8218644902449619E-4</v>
      </c>
      <c r="E91" s="31">
        <v>2</v>
      </c>
      <c r="F91">
        <f t="shared" si="13"/>
        <v>275.14999999999998</v>
      </c>
      <c r="G91">
        <f t="shared" si="14"/>
        <v>7.1743772542911699E-2</v>
      </c>
      <c r="H91">
        <f t="shared" si="15"/>
        <v>2.8081346341222542E-7</v>
      </c>
      <c r="I91">
        <f t="shared" si="16"/>
        <v>2.5339014130362006E-11</v>
      </c>
      <c r="J91">
        <f t="shared" si="17"/>
        <v>1.6567867748987664E-4</v>
      </c>
      <c r="K91">
        <f t="shared" si="18"/>
        <v>1.6507623120828458E-5</v>
      </c>
      <c r="L91">
        <f t="shared" si="19"/>
        <v>1.4841379107050601E-10</v>
      </c>
      <c r="M91">
        <f t="shared" si="20"/>
        <v>1.8218644902449617E-4</v>
      </c>
      <c r="N91" s="25">
        <f t="shared" si="21"/>
        <v>2309.3109215964378</v>
      </c>
      <c r="O91" s="28">
        <f t="shared" si="22"/>
        <v>5.7732773039910947</v>
      </c>
      <c r="P91" s="1">
        <f t="shared" si="23"/>
        <v>1.9898009166534183</v>
      </c>
      <c r="U91" s="1"/>
      <c r="V91" s="1"/>
      <c r="W91" s="5"/>
      <c r="X91" s="25"/>
      <c r="AA91"/>
      <c r="AB91" s="1"/>
    </row>
    <row r="92" spans="1:28" ht="15" x14ac:dyDescent="0.2">
      <c r="A92" s="29" t="s">
        <v>178</v>
      </c>
      <c r="B92" s="31">
        <v>5.04</v>
      </c>
      <c r="C92">
        <f t="shared" si="12"/>
        <v>9.1201083935590828E-6</v>
      </c>
      <c r="D92">
        <f>DIC!O91</f>
        <v>1.0807972112869083E-4</v>
      </c>
      <c r="E92" s="31">
        <v>7.6369479166666698</v>
      </c>
      <c r="F92">
        <f t="shared" si="13"/>
        <v>280.78694791666663</v>
      </c>
      <c r="G92">
        <f t="shared" si="14"/>
        <v>5.8256801645800299E-2</v>
      </c>
      <c r="H92">
        <f t="shared" si="15"/>
        <v>3.2510218894534405E-7</v>
      </c>
      <c r="I92">
        <f t="shared" si="16"/>
        <v>3.0300606439398298E-11</v>
      </c>
      <c r="J92">
        <f t="shared" si="17"/>
        <v>1.0435962761321749E-4</v>
      </c>
      <c r="K92">
        <f t="shared" si="18"/>
        <v>3.7200811558926987E-6</v>
      </c>
      <c r="L92">
        <f t="shared" si="19"/>
        <v>1.2359580628113325E-11</v>
      </c>
      <c r="M92">
        <f t="shared" si="20"/>
        <v>1.0807972112869083E-4</v>
      </c>
      <c r="N92" s="25">
        <f t="shared" si="21"/>
        <v>1791.3724177259346</v>
      </c>
      <c r="O92" s="28">
        <f t="shared" si="22"/>
        <v>4.4784310443148367</v>
      </c>
      <c r="P92" s="1">
        <f t="shared" si="23"/>
        <v>1.2533591276347422</v>
      </c>
      <c r="U92" s="1"/>
      <c r="V92" s="1"/>
      <c r="W92" s="5"/>
      <c r="X92" s="25"/>
      <c r="AA92"/>
      <c r="AB92" s="1"/>
    </row>
    <row r="93" spans="1:28" ht="15" x14ac:dyDescent="0.2">
      <c r="A93" s="29" t="s">
        <v>179</v>
      </c>
      <c r="B93" s="31">
        <v>4.92</v>
      </c>
      <c r="C93">
        <f t="shared" si="12"/>
        <v>1.2022644346174118E-5</v>
      </c>
      <c r="D93">
        <f>DIC!O92</f>
        <v>1.7817045664379858E-4</v>
      </c>
      <c r="E93" s="31">
        <v>2</v>
      </c>
      <c r="F93">
        <f t="shared" si="13"/>
        <v>275.14999999999998</v>
      </c>
      <c r="G93">
        <f t="shared" si="14"/>
        <v>7.1743772542911699E-2</v>
      </c>
      <c r="H93">
        <f t="shared" si="15"/>
        <v>2.8081346341222542E-7</v>
      </c>
      <c r="I93">
        <f t="shared" si="16"/>
        <v>2.5339014130362006E-11</v>
      </c>
      <c r="J93">
        <f t="shared" si="17"/>
        <v>1.7410389528969389E-4</v>
      </c>
      <c r="K93">
        <f t="shared" si="18"/>
        <v>4.0665527834079638E-6</v>
      </c>
      <c r="L93">
        <f t="shared" si="19"/>
        <v>8.570696718099942E-12</v>
      </c>
      <c r="M93">
        <f t="shared" si="20"/>
        <v>1.7817045664379858E-4</v>
      </c>
      <c r="N93" s="25">
        <f t="shared" si="21"/>
        <v>2426.7457525398195</v>
      </c>
      <c r="O93" s="28">
        <f t="shared" si="22"/>
        <v>6.0668643813495491</v>
      </c>
      <c r="P93" s="1">
        <f t="shared" si="23"/>
        <v>2.0909877824292238</v>
      </c>
      <c r="U93" s="1"/>
      <c r="V93" s="1"/>
      <c r="W93" s="5"/>
      <c r="X93" s="25"/>
      <c r="AA93"/>
      <c r="AB93" s="1"/>
    </row>
    <row r="94" spans="1:28" ht="15" x14ac:dyDescent="0.2">
      <c r="A94" s="29" t="s">
        <v>180</v>
      </c>
      <c r="B94" s="31">
        <v>5.77</v>
      </c>
      <c r="C94">
        <f t="shared" si="12"/>
        <v>1.6982436524617446E-6</v>
      </c>
      <c r="D94">
        <f>DIC!O93</f>
        <v>1.5805810932643431E-4</v>
      </c>
      <c r="E94" s="31">
        <v>7.38905208333333</v>
      </c>
      <c r="F94">
        <f t="shared" si="13"/>
        <v>280.53905208333333</v>
      </c>
      <c r="G94">
        <f t="shared" si="14"/>
        <v>5.8771222678269348E-2</v>
      </c>
      <c r="H94">
        <f t="shared" si="15"/>
        <v>3.2317125794704844E-7</v>
      </c>
      <c r="I94">
        <f t="shared" si="16"/>
        <v>3.007564112329134E-11</v>
      </c>
      <c r="J94">
        <f t="shared" si="17"/>
        <v>1.3278838476546643E-4</v>
      </c>
      <c r="K94">
        <f t="shared" si="18"/>
        <v>2.5269277045850259E-5</v>
      </c>
      <c r="L94">
        <f t="shared" si="19"/>
        <v>4.4751511761833944E-10</v>
      </c>
      <c r="M94">
        <f t="shared" si="20"/>
        <v>1.5805810932643431E-4</v>
      </c>
      <c r="N94" s="25">
        <f t="shared" si="21"/>
        <v>2259.411642537852</v>
      </c>
      <c r="O94" s="28">
        <f t="shared" si="22"/>
        <v>5.6485291063446299</v>
      </c>
      <c r="P94" s="1">
        <f t="shared" si="23"/>
        <v>1.5947885010332516</v>
      </c>
      <c r="U94" s="1"/>
      <c r="V94" s="1"/>
      <c r="W94" s="5"/>
      <c r="X94" s="25"/>
      <c r="AA94"/>
      <c r="AB94" s="1"/>
    </row>
    <row r="95" spans="1:28" ht="15" x14ac:dyDescent="0.2">
      <c r="A95" s="29" t="s">
        <v>181</v>
      </c>
      <c r="B95" s="31">
        <v>5.0599999999999996</v>
      </c>
      <c r="C95">
        <f t="shared" si="12"/>
        <v>8.7096358995608107E-6</v>
      </c>
      <c r="D95">
        <f>DIC!O94</f>
        <v>1.3133342880664254E-4</v>
      </c>
      <c r="E95" s="31">
        <v>8.6948124999999994</v>
      </c>
      <c r="F95">
        <f t="shared" si="13"/>
        <v>281.84481249999999</v>
      </c>
      <c r="G95">
        <f t="shared" si="14"/>
        <v>5.6132362956976295E-2</v>
      </c>
      <c r="H95">
        <f t="shared" si="15"/>
        <v>3.3331009292148373E-7</v>
      </c>
      <c r="I95">
        <f t="shared" si="16"/>
        <v>3.1266681395394158E-11</v>
      </c>
      <c r="J95">
        <f t="shared" si="17"/>
        <v>1.2649264918126364E-4</v>
      </c>
      <c r="K95">
        <f t="shared" si="18"/>
        <v>4.8407622475490208E-6</v>
      </c>
      <c r="L95">
        <f t="shared" si="19"/>
        <v>1.7377829871464492E-11</v>
      </c>
      <c r="M95">
        <f t="shared" si="20"/>
        <v>1.3133342880664254E-4</v>
      </c>
      <c r="N95" s="25">
        <f t="shared" si="21"/>
        <v>2253.4709482694734</v>
      </c>
      <c r="O95" s="28">
        <f t="shared" si="22"/>
        <v>5.6336773706736833</v>
      </c>
      <c r="P95" s="1">
        <f t="shared" si="23"/>
        <v>1.5191767166669765</v>
      </c>
      <c r="U95" s="1"/>
      <c r="V95" s="1"/>
      <c r="W95" s="5"/>
      <c r="X95" s="25"/>
      <c r="AA95"/>
      <c r="AB95" s="1"/>
    </row>
    <row r="96" spans="1:28" ht="15" x14ac:dyDescent="0.2">
      <c r="A96" s="29" t="s">
        <v>174</v>
      </c>
      <c r="B96" s="31">
        <v>4.93</v>
      </c>
      <c r="C96">
        <f t="shared" si="12"/>
        <v>1.1748975549395286E-5</v>
      </c>
      <c r="D96">
        <f>DIC!O95</f>
        <v>1.6276805846424534E-4</v>
      </c>
      <c r="E96" s="31">
        <v>12.3645833333333</v>
      </c>
      <c r="F96">
        <f t="shared" si="13"/>
        <v>285.51458333333329</v>
      </c>
      <c r="G96">
        <f t="shared" si="14"/>
        <v>4.9569383596102141E-2</v>
      </c>
      <c r="H96">
        <f t="shared" si="15"/>
        <v>3.6124256602563901E-7</v>
      </c>
      <c r="I96">
        <f t="shared" si="16"/>
        <v>3.4684690406298176E-11</v>
      </c>
      <c r="J96">
        <f t="shared" si="17"/>
        <v>1.5791274380757948E-4</v>
      </c>
      <c r="K96">
        <f t="shared" si="18"/>
        <v>4.8553003231107601E-6</v>
      </c>
      <c r="L96">
        <f t="shared" si="19"/>
        <v>1.4333555111140216E-11</v>
      </c>
      <c r="M96">
        <f t="shared" si="20"/>
        <v>1.6276805846424536E-4</v>
      </c>
      <c r="N96" s="25">
        <f t="shared" si="21"/>
        <v>3185.6910929995274</v>
      </c>
      <c r="O96" s="28">
        <f t="shared" si="22"/>
        <v>7.9642277324988182</v>
      </c>
      <c r="P96" s="1">
        <f t="shared" si="23"/>
        <v>1.8965320531290295</v>
      </c>
      <c r="U96" s="1"/>
      <c r="V96" s="1"/>
      <c r="W96" s="5"/>
      <c r="X96" s="25"/>
      <c r="AA96"/>
      <c r="AB96" s="1"/>
    </row>
    <row r="97" spans="1:28" ht="15" x14ac:dyDescent="0.2">
      <c r="A97" s="29" t="s">
        <v>182</v>
      </c>
      <c r="B97" s="31">
        <v>5.04</v>
      </c>
      <c r="C97">
        <f t="shared" si="12"/>
        <v>9.1201083935590828E-6</v>
      </c>
      <c r="D97">
        <f>DIC!O96</f>
        <v>2.4209696969828157E-4</v>
      </c>
      <c r="E97" s="31">
        <v>17.422916666666701</v>
      </c>
      <c r="F97">
        <f t="shared" si="13"/>
        <v>290.57291666666669</v>
      </c>
      <c r="G97">
        <f t="shared" si="14"/>
        <v>4.2226907487067498E-2</v>
      </c>
      <c r="H97">
        <f t="shared" si="15"/>
        <v>3.976905846668852E-7</v>
      </c>
      <c r="I97">
        <f t="shared" si="16"/>
        <v>3.9514999217307971E-11</v>
      </c>
      <c r="J97">
        <f t="shared" si="17"/>
        <v>2.3198117660688753E-4</v>
      </c>
      <c r="K97">
        <f t="shared" si="18"/>
        <v>1.0115749262548212E-5</v>
      </c>
      <c r="L97">
        <f t="shared" si="19"/>
        <v>4.3828845770558411E-11</v>
      </c>
      <c r="M97">
        <f t="shared" si="20"/>
        <v>2.4209696969828152E-4</v>
      </c>
      <c r="N97" s="25">
        <f t="shared" si="21"/>
        <v>5493.6814086595041</v>
      </c>
      <c r="O97" s="28">
        <f t="shared" si="22"/>
        <v>13.734203521648761</v>
      </c>
      <c r="P97" s="1">
        <f t="shared" si="23"/>
        <v>2.7860939310487192</v>
      </c>
      <c r="U97" s="1"/>
      <c r="V97" s="1"/>
      <c r="W97" s="5"/>
      <c r="X97" s="25"/>
      <c r="AA97"/>
      <c r="AB97" s="1"/>
    </row>
    <row r="98" spans="1:28" ht="15" x14ac:dyDescent="0.2">
      <c r="A98" s="29" t="s">
        <v>183</v>
      </c>
      <c r="B98" s="31">
        <v>5.18</v>
      </c>
      <c r="C98">
        <f t="shared" si="12"/>
        <v>6.6069344800759593E-6</v>
      </c>
      <c r="D98">
        <f>DIC!O97</f>
        <v>1.7886443123998043E-4</v>
      </c>
      <c r="E98" s="31">
        <v>13.6297916666667</v>
      </c>
      <c r="F98">
        <f t="shared" si="13"/>
        <v>286.77979166666665</v>
      </c>
      <c r="G98">
        <f t="shared" si="14"/>
        <v>4.7564928818054034E-2</v>
      </c>
      <c r="H98">
        <f t="shared" si="15"/>
        <v>3.7061879360735013E-7</v>
      </c>
      <c r="I98">
        <f t="shared" si="16"/>
        <v>3.5882797844888988E-11</v>
      </c>
      <c r="J98">
        <f t="shared" si="17"/>
        <v>1.6936384299205023E-4</v>
      </c>
      <c r="K98">
        <f t="shared" si="18"/>
        <v>9.5005366497439001E-6</v>
      </c>
      <c r="L98">
        <f t="shared" si="19"/>
        <v>5.159818627667092E-11</v>
      </c>
      <c r="M98">
        <f t="shared" si="20"/>
        <v>1.788644312399804E-4</v>
      </c>
      <c r="N98" s="25">
        <f t="shared" si="21"/>
        <v>3560.6874056282718</v>
      </c>
      <c r="O98" s="28">
        <f t="shared" si="22"/>
        <v>8.90171851407068</v>
      </c>
      <c r="P98" s="1">
        <f t="shared" si="23"/>
        <v>2.0340597543345234</v>
      </c>
      <c r="U98" s="1"/>
      <c r="V98" s="1"/>
      <c r="W98" s="5"/>
      <c r="X98" s="25"/>
      <c r="AA98"/>
      <c r="AB98" s="1"/>
    </row>
    <row r="99" spans="1:28" ht="15" x14ac:dyDescent="0.2">
      <c r="A99" s="29" t="s">
        <v>184</v>
      </c>
      <c r="B99" s="31">
        <v>5.45</v>
      </c>
      <c r="C99">
        <f t="shared" si="12"/>
        <v>3.5481338923357504E-6</v>
      </c>
      <c r="D99">
        <f>DIC!O98</f>
        <v>1.4848739662379377E-4</v>
      </c>
      <c r="E99" s="31">
        <v>2</v>
      </c>
      <c r="F99">
        <f t="shared" si="13"/>
        <v>275.14999999999998</v>
      </c>
      <c r="G99">
        <f t="shared" si="14"/>
        <v>7.1743772542911699E-2</v>
      </c>
      <c r="H99">
        <f t="shared" si="15"/>
        <v>2.8081346341222542E-7</v>
      </c>
      <c r="I99">
        <f t="shared" si="16"/>
        <v>2.5339014130362006E-11</v>
      </c>
      <c r="J99">
        <f t="shared" si="17"/>
        <v>1.3759731844126909E-4</v>
      </c>
      <c r="K99">
        <f t="shared" si="18"/>
        <v>1.0890000411537831E-5</v>
      </c>
      <c r="L99">
        <f t="shared" si="19"/>
        <v>7.7770986856967665E-11</v>
      </c>
      <c r="M99">
        <f t="shared" si="20"/>
        <v>1.4848739662379377E-4</v>
      </c>
      <c r="N99" s="25">
        <f t="shared" si="21"/>
        <v>1917.8991230070706</v>
      </c>
      <c r="O99" s="28">
        <f t="shared" si="22"/>
        <v>4.7947478075176768</v>
      </c>
      <c r="P99" s="1">
        <f t="shared" si="23"/>
        <v>1.6525437944796415</v>
      </c>
      <c r="U99" s="1"/>
      <c r="V99" s="1"/>
      <c r="W99" s="5"/>
      <c r="X99" s="25"/>
      <c r="AA99"/>
      <c r="AB99" s="1"/>
    </row>
    <row r="100" spans="1:28" ht="15" x14ac:dyDescent="0.2">
      <c r="A100" s="29" t="s">
        <v>185</v>
      </c>
      <c r="B100" s="31">
        <v>5.0599999999999996</v>
      </c>
      <c r="C100">
        <f t="shared" si="12"/>
        <v>8.7096358995608107E-6</v>
      </c>
      <c r="D100">
        <f>DIC!O99</f>
        <v>2.5200177986942009E-4</v>
      </c>
      <c r="E100" s="31">
        <v>2</v>
      </c>
      <c r="F100">
        <f t="shared" si="13"/>
        <v>275.14999999999998</v>
      </c>
      <c r="G100">
        <f t="shared" si="14"/>
        <v>7.1743772542911699E-2</v>
      </c>
      <c r="H100">
        <f t="shared" si="15"/>
        <v>2.8081346341222542E-7</v>
      </c>
      <c r="I100">
        <f t="shared" si="16"/>
        <v>2.5339014130362006E-11</v>
      </c>
      <c r="J100">
        <f t="shared" si="17"/>
        <v>2.4413057241557683E-4</v>
      </c>
      <c r="K100">
        <f t="shared" si="18"/>
        <v>7.871184554142403E-6</v>
      </c>
      <c r="L100">
        <f t="shared" si="19"/>
        <v>2.2899700853184784E-11</v>
      </c>
      <c r="M100">
        <f t="shared" si="20"/>
        <v>2.5200177986942009E-4</v>
      </c>
      <c r="N100" s="25">
        <f t="shared" si="21"/>
        <v>3402.8120317976918</v>
      </c>
      <c r="O100" s="28">
        <f t="shared" si="22"/>
        <v>8.5070300794942302</v>
      </c>
      <c r="P100" s="1">
        <f t="shared" si="23"/>
        <v>2.9320081747110778</v>
      </c>
      <c r="U100" s="1"/>
      <c r="V100" s="1"/>
      <c r="W100" s="5"/>
      <c r="X100" s="25"/>
      <c r="AA100"/>
      <c r="AB100" s="1"/>
    </row>
    <row r="101" spans="1:28" ht="15" x14ac:dyDescent="0.2">
      <c r="A101" s="29" t="s">
        <v>186</v>
      </c>
      <c r="B101" s="31">
        <v>4.53</v>
      </c>
      <c r="C101">
        <f t="shared" si="12"/>
        <v>2.9512092266663827E-5</v>
      </c>
      <c r="D101">
        <f>DIC!O100</f>
        <v>1.5779811097924642E-4</v>
      </c>
      <c r="E101" s="31">
        <v>12.859375</v>
      </c>
      <c r="F101">
        <f t="shared" si="13"/>
        <v>286.00937499999998</v>
      </c>
      <c r="G101">
        <f t="shared" si="14"/>
        <v>4.877097139465774E-2</v>
      </c>
      <c r="H101">
        <f t="shared" si="15"/>
        <v>3.6492736200897112E-7</v>
      </c>
      <c r="I101">
        <f t="shared" si="16"/>
        <v>3.5152225886176931E-11</v>
      </c>
      <c r="J101">
        <f t="shared" si="17"/>
        <v>1.55870712703327E-4</v>
      </c>
      <c r="K101">
        <f t="shared" si="18"/>
        <v>1.9273959801737051E-6</v>
      </c>
      <c r="L101">
        <f t="shared" si="19"/>
        <v>2.2957456982372904E-12</v>
      </c>
      <c r="M101">
        <f t="shared" si="20"/>
        <v>1.5779811097924642E-4</v>
      </c>
      <c r="N101" s="25">
        <f t="shared" si="21"/>
        <v>3195.973101335454</v>
      </c>
      <c r="O101" s="28">
        <f t="shared" si="22"/>
        <v>7.9899327533386346</v>
      </c>
      <c r="P101" s="1">
        <f t="shared" si="23"/>
        <v>1.8720072595669572</v>
      </c>
      <c r="U101" s="1"/>
      <c r="V101" s="1"/>
      <c r="W101" s="5"/>
      <c r="X101" s="25"/>
      <c r="AA101"/>
      <c r="AB101" s="1"/>
    </row>
    <row r="102" spans="1:28" ht="15" x14ac:dyDescent="0.2">
      <c r="A102" s="29" t="s">
        <v>187</v>
      </c>
      <c r="B102" s="31">
        <v>4.93</v>
      </c>
      <c r="C102">
        <f t="shared" si="12"/>
        <v>1.1748975549395286E-5</v>
      </c>
      <c r="D102">
        <f>DIC!O101</f>
        <v>1.2838768729926924E-4</v>
      </c>
      <c r="E102" s="31">
        <v>3.3451249999999999</v>
      </c>
      <c r="F102">
        <f t="shared" si="13"/>
        <v>276.49512499999997</v>
      </c>
      <c r="G102">
        <f t="shared" si="14"/>
        <v>6.8156007933084253E-2</v>
      </c>
      <c r="H102">
        <f t="shared" si="15"/>
        <v>2.9141719407551625E-7</v>
      </c>
      <c r="I102">
        <f t="shared" si="16"/>
        <v>2.6491479203604486E-11</v>
      </c>
      <c r="J102">
        <f t="shared" si="17"/>
        <v>1.2528027521533671E-4</v>
      </c>
      <c r="K102">
        <f t="shared" si="18"/>
        <v>3.1074050773848924E-6</v>
      </c>
      <c r="L102">
        <f t="shared" si="19"/>
        <v>7.0065476465268351E-12</v>
      </c>
      <c r="M102">
        <f t="shared" si="20"/>
        <v>1.2838768729926924E-4</v>
      </c>
      <c r="N102" s="25">
        <f t="shared" si="21"/>
        <v>1838.1398649160496</v>
      </c>
      <c r="O102" s="28">
        <f t="shared" si="22"/>
        <v>4.5953496622901238</v>
      </c>
      <c r="P102" s="1">
        <f t="shared" si="23"/>
        <v>1.5046161053361939</v>
      </c>
      <c r="U102" s="1"/>
      <c r="V102" s="1"/>
      <c r="W102" s="5"/>
      <c r="X102" s="25"/>
      <c r="AA102"/>
      <c r="AB102" s="1"/>
    </row>
    <row r="103" spans="1:28" ht="15" x14ac:dyDescent="0.2">
      <c r="A103" s="29" t="s">
        <v>188</v>
      </c>
      <c r="B103" s="31">
        <v>5.1100000000000003</v>
      </c>
      <c r="C103">
        <f t="shared" si="12"/>
        <v>7.7624711662868956E-6</v>
      </c>
      <c r="D103">
        <f>DIC!O102</f>
        <v>1.2029201240772878E-4</v>
      </c>
      <c r="E103" s="31">
        <v>2</v>
      </c>
      <c r="F103">
        <f t="shared" si="13"/>
        <v>275.14999999999998</v>
      </c>
      <c r="G103">
        <f t="shared" si="14"/>
        <v>7.1743772542911699E-2</v>
      </c>
      <c r="H103">
        <f t="shared" si="15"/>
        <v>2.8081346341222542E-7</v>
      </c>
      <c r="I103">
        <f t="shared" si="16"/>
        <v>2.5339014130362006E-11</v>
      </c>
      <c r="J103">
        <f t="shared" si="17"/>
        <v>1.1609227006399829E-4</v>
      </c>
      <c r="K103">
        <f t="shared" si="18"/>
        <v>4.1997286345673877E-6</v>
      </c>
      <c r="L103">
        <f t="shared" si="19"/>
        <v>1.3709163091924569E-11</v>
      </c>
      <c r="M103">
        <f t="shared" si="20"/>
        <v>1.2029201240772877E-4</v>
      </c>
      <c r="N103" s="25">
        <f t="shared" si="21"/>
        <v>1618.1511781327176</v>
      </c>
      <c r="O103" s="28">
        <f t="shared" si="22"/>
        <v>4.0453779453317944</v>
      </c>
      <c r="P103" s="1">
        <f t="shared" si="23"/>
        <v>1.3942681634686194</v>
      </c>
      <c r="U103" s="1"/>
      <c r="V103" s="1"/>
      <c r="W103" s="5"/>
      <c r="X103" s="25"/>
    </row>
    <row r="104" spans="1:28" ht="15" x14ac:dyDescent="0.2">
      <c r="A104" s="29" t="s">
        <v>189</v>
      </c>
      <c r="B104" s="31">
        <v>5.0599999999999996</v>
      </c>
      <c r="C104">
        <f t="shared" si="12"/>
        <v>8.7096358995608107E-6</v>
      </c>
      <c r="D104">
        <f>DIC!O103</f>
        <v>9.8938420188751679E-5</v>
      </c>
      <c r="E104" s="31">
        <v>2.4284062500000001</v>
      </c>
      <c r="F104">
        <f t="shared" si="13"/>
        <v>275.57840625</v>
      </c>
      <c r="G104">
        <f t="shared" si="14"/>
        <v>7.057317402232717E-2</v>
      </c>
      <c r="H104">
        <f t="shared" si="15"/>
        <v>2.8418979876322143E-7</v>
      </c>
      <c r="I104">
        <f t="shared" si="16"/>
        <v>2.5703730257288129E-11</v>
      </c>
      <c r="J104">
        <f t="shared" si="17"/>
        <v>9.5812123213051006E-5</v>
      </c>
      <c r="K104">
        <f t="shared" si="18"/>
        <v>3.1262877494531058E-6</v>
      </c>
      <c r="L104">
        <f t="shared" si="19"/>
        <v>9.2262475659469375E-12</v>
      </c>
      <c r="M104">
        <f t="shared" si="20"/>
        <v>9.8938420188751666E-5</v>
      </c>
      <c r="N104" s="25">
        <f t="shared" si="21"/>
        <v>1357.6280865975932</v>
      </c>
      <c r="O104" s="28">
        <f t="shared" si="22"/>
        <v>3.3940702164939829</v>
      </c>
      <c r="P104" s="1">
        <f t="shared" si="23"/>
        <v>1.1507035997887425</v>
      </c>
      <c r="U104" s="1"/>
      <c r="V104" s="1"/>
      <c r="W104" s="5"/>
      <c r="X104" s="25"/>
    </row>
    <row r="105" spans="1:28" ht="15" x14ac:dyDescent="0.2">
      <c r="A105" s="29" t="s">
        <v>190</v>
      </c>
      <c r="B105" s="31">
        <v>5</v>
      </c>
      <c r="C105">
        <f t="shared" si="12"/>
        <v>1.0000000000000001E-5</v>
      </c>
      <c r="D105">
        <f>DIC!O104</f>
        <v>1.2907729421580418E-4</v>
      </c>
      <c r="E105" s="31">
        <v>2</v>
      </c>
      <c r="F105">
        <f t="shared" si="13"/>
        <v>275.14999999999998</v>
      </c>
      <c r="G105">
        <f t="shared" si="14"/>
        <v>7.1743772542911699E-2</v>
      </c>
      <c r="H105">
        <f t="shared" si="15"/>
        <v>2.8081346341222542E-7</v>
      </c>
      <c r="I105">
        <f t="shared" si="16"/>
        <v>2.5339014130362006E-11</v>
      </c>
      <c r="J105">
        <f t="shared" si="17"/>
        <v>1.2555162657264238E-4</v>
      </c>
      <c r="K105">
        <f t="shared" si="18"/>
        <v>3.5256587094902097E-6</v>
      </c>
      <c r="L105">
        <f t="shared" si="19"/>
        <v>8.9336715858606302E-12</v>
      </c>
      <c r="M105">
        <f t="shared" si="20"/>
        <v>1.2907729421580418E-4</v>
      </c>
      <c r="N105" s="25">
        <f t="shared" si="21"/>
        <v>1750.0003432011733</v>
      </c>
      <c r="O105" s="28">
        <f t="shared" si="22"/>
        <v>4.3750008580029336</v>
      </c>
      <c r="P105" s="1">
        <f t="shared" si="23"/>
        <v>1.5078750351374348</v>
      </c>
      <c r="U105" s="1"/>
      <c r="V105" s="1"/>
      <c r="W105" s="5"/>
      <c r="X105" s="25"/>
    </row>
    <row r="106" spans="1:28" ht="15" x14ac:dyDescent="0.2">
      <c r="A106" s="29" t="s">
        <v>191</v>
      </c>
      <c r="B106" s="31">
        <v>5.52</v>
      </c>
      <c r="C106">
        <f t="shared" si="12"/>
        <v>3.0199517204020146E-6</v>
      </c>
      <c r="D106">
        <f>DIC!O105</f>
        <v>1.633034005651434E-4</v>
      </c>
      <c r="E106" s="31">
        <v>16.5732291666667</v>
      </c>
      <c r="F106">
        <f t="shared" si="13"/>
        <v>289.72322916666667</v>
      </c>
      <c r="G106">
        <f t="shared" si="14"/>
        <v>4.3341871904625108E-2</v>
      </c>
      <c r="H106">
        <f t="shared" si="15"/>
        <v>3.91777405156931E-7</v>
      </c>
      <c r="I106">
        <f t="shared" si="16"/>
        <v>3.8697435663890195E-11</v>
      </c>
      <c r="J106">
        <f t="shared" si="17"/>
        <v>1.445506491460735E-4</v>
      </c>
      <c r="K106">
        <f t="shared" si="18"/>
        <v>1.8752511125793704E-5</v>
      </c>
      <c r="L106">
        <f t="shared" si="19"/>
        <v>2.40293276188596E-10</v>
      </c>
      <c r="M106">
        <f t="shared" si="20"/>
        <v>1.633034005651434E-4</v>
      </c>
      <c r="N106" s="25">
        <f t="shared" si="21"/>
        <v>3335.127044447016</v>
      </c>
      <c r="O106" s="28">
        <f t="shared" si="22"/>
        <v>8.3378176111175399</v>
      </c>
      <c r="P106" s="1">
        <f t="shared" si="23"/>
        <v>1.7360532962443427</v>
      </c>
      <c r="U106" s="1"/>
      <c r="V106" s="1"/>
      <c r="W106" s="5"/>
      <c r="X106" s="25"/>
    </row>
    <row r="107" spans="1:28" ht="15" x14ac:dyDescent="0.2">
      <c r="A107" s="29" t="s">
        <v>192</v>
      </c>
      <c r="B107" s="31">
        <v>4.96</v>
      </c>
      <c r="C107">
        <f t="shared" si="12"/>
        <v>1.0964781961431843E-5</v>
      </c>
      <c r="D107">
        <f>DIC!O106</f>
        <v>1.6057269451412635E-4</v>
      </c>
      <c r="E107" s="31">
        <v>2</v>
      </c>
      <c r="F107">
        <f t="shared" si="13"/>
        <v>275.14999999999998</v>
      </c>
      <c r="G107">
        <f t="shared" si="14"/>
        <v>7.1743772542911699E-2</v>
      </c>
      <c r="H107">
        <f t="shared" si="15"/>
        <v>2.8081346341222542E-7</v>
      </c>
      <c r="I107">
        <f t="shared" si="16"/>
        <v>2.5339014130362006E-11</v>
      </c>
      <c r="J107">
        <f t="shared" si="17"/>
        <v>1.5656302900748142E-4</v>
      </c>
      <c r="K107">
        <f t="shared" si="18"/>
        <v>4.0096562405476572E-6</v>
      </c>
      <c r="L107">
        <f t="shared" si="19"/>
        <v>9.2660972643603481E-12</v>
      </c>
      <c r="M107">
        <f t="shared" si="20"/>
        <v>1.6057269451412635E-4</v>
      </c>
      <c r="N107" s="25">
        <f t="shared" si="21"/>
        <v>2182.252528103917</v>
      </c>
      <c r="O107" s="28">
        <f t="shared" si="22"/>
        <v>5.4556313202597924</v>
      </c>
      <c r="P107" s="1">
        <f t="shared" si="23"/>
        <v>1.8803219783798519</v>
      </c>
      <c r="U107" s="1"/>
      <c r="V107" s="1"/>
      <c r="W107" s="5"/>
      <c r="X107" s="25"/>
    </row>
    <row r="108" spans="1:28" ht="15" x14ac:dyDescent="0.2">
      <c r="A108" s="29" t="s">
        <v>193</v>
      </c>
      <c r="B108" s="31">
        <v>5.09</v>
      </c>
      <c r="C108">
        <f t="shared" si="12"/>
        <v>8.128305161640983E-6</v>
      </c>
      <c r="D108">
        <f>DIC!O107</f>
        <v>2.0003843065106964E-4</v>
      </c>
      <c r="E108" s="31">
        <v>2</v>
      </c>
      <c r="F108">
        <f t="shared" si="13"/>
        <v>275.14999999999998</v>
      </c>
      <c r="G108">
        <f t="shared" si="14"/>
        <v>7.1743772542911699E-2</v>
      </c>
      <c r="H108">
        <f t="shared" si="15"/>
        <v>2.8081346341222542E-7</v>
      </c>
      <c r="I108">
        <f t="shared" si="16"/>
        <v>2.5339014130362006E-11</v>
      </c>
      <c r="J108">
        <f t="shared" si="17"/>
        <v>1.9335834248753296E-4</v>
      </c>
      <c r="K108">
        <f t="shared" si="18"/>
        <v>6.6800673392298568E-6</v>
      </c>
      <c r="L108">
        <f t="shared" si="19"/>
        <v>2.0824306830815729E-11</v>
      </c>
      <c r="M108">
        <f t="shared" si="20"/>
        <v>2.0003843065106964E-4</v>
      </c>
      <c r="N108" s="25">
        <f t="shared" si="21"/>
        <v>2695.1237108681539</v>
      </c>
      <c r="O108" s="28">
        <f t="shared" si="22"/>
        <v>6.7378092771703848</v>
      </c>
      <c r="P108" s="1">
        <f t="shared" si="23"/>
        <v>2.3222336932752712</v>
      </c>
      <c r="U108" s="1"/>
      <c r="V108" s="1"/>
      <c r="W108" s="5"/>
      <c r="X108" s="25"/>
    </row>
    <row r="109" spans="1:28" ht="15" x14ac:dyDescent="0.2">
      <c r="A109" s="29" t="s">
        <v>194</v>
      </c>
      <c r="B109" s="31">
        <v>4.7300000000000004</v>
      </c>
      <c r="C109">
        <f t="shared" si="12"/>
        <v>1.8620871366628623E-5</v>
      </c>
      <c r="D109">
        <f>DIC!O108</f>
        <v>1.2105425981270043E-4</v>
      </c>
      <c r="E109" s="31">
        <v>2</v>
      </c>
      <c r="F109">
        <f t="shared" si="13"/>
        <v>275.14999999999998</v>
      </c>
      <c r="G109">
        <f t="shared" si="14"/>
        <v>7.1743772542911699E-2</v>
      </c>
      <c r="H109">
        <f t="shared" si="15"/>
        <v>2.8081346341222542E-7</v>
      </c>
      <c r="I109">
        <f t="shared" si="16"/>
        <v>2.5339014130362006E-11</v>
      </c>
      <c r="J109">
        <f t="shared" si="17"/>
        <v>1.1925581105877573E-4</v>
      </c>
      <c r="K109">
        <f t="shared" si="18"/>
        <v>1.7984463066248023E-6</v>
      </c>
      <c r="L109">
        <f t="shared" si="19"/>
        <v>2.4472998861875493E-12</v>
      </c>
      <c r="M109">
        <f t="shared" si="20"/>
        <v>1.2105425981270043E-4</v>
      </c>
      <c r="N109" s="25">
        <f t="shared" si="21"/>
        <v>1662.2461689960051</v>
      </c>
      <c r="O109" s="28">
        <f t="shared" si="22"/>
        <v>4.1556154224900128</v>
      </c>
      <c r="P109" s="1">
        <f t="shared" si="23"/>
        <v>1.4322622908158966</v>
      </c>
      <c r="U109" s="1"/>
      <c r="V109" s="1"/>
      <c r="W109" s="5"/>
      <c r="X109" s="25"/>
    </row>
    <row r="110" spans="1:28" ht="15" x14ac:dyDescent="0.2">
      <c r="A110" s="29" t="s">
        <v>195</v>
      </c>
      <c r="B110" s="31">
        <v>5.72</v>
      </c>
      <c r="C110">
        <f t="shared" si="12"/>
        <v>1.9054607179632462E-6</v>
      </c>
      <c r="D110">
        <f>DIC!O109</f>
        <v>1.1994232632514816E-4</v>
      </c>
      <c r="E110" s="31">
        <v>9.5078125</v>
      </c>
      <c r="F110">
        <f t="shared" si="13"/>
        <v>282.65781249999998</v>
      </c>
      <c r="G110">
        <f t="shared" si="14"/>
        <v>5.4574393922993833E-2</v>
      </c>
      <c r="H110">
        <f t="shared" si="15"/>
        <v>3.3957759799746477E-7</v>
      </c>
      <c r="I110">
        <f t="shared" si="16"/>
        <v>3.2015467749619897E-11</v>
      </c>
      <c r="J110">
        <f t="shared" si="17"/>
        <v>1.0179995984135727E-4</v>
      </c>
      <c r="K110">
        <f t="shared" si="18"/>
        <v>1.8142061661663321E-5</v>
      </c>
      <c r="L110">
        <f t="shared" si="19"/>
        <v>3.0482212756474203E-10</v>
      </c>
      <c r="M110">
        <f t="shared" si="20"/>
        <v>1.1994232632514815E-4</v>
      </c>
      <c r="N110" s="25">
        <f t="shared" si="21"/>
        <v>1865.3429295980854</v>
      </c>
      <c r="O110" s="28">
        <f t="shared" si="22"/>
        <v>4.6633573239952133</v>
      </c>
      <c r="P110" s="1">
        <f t="shared" si="23"/>
        <v>1.2226175176947007</v>
      </c>
      <c r="U110" s="1"/>
      <c r="V110" s="1"/>
      <c r="W110" s="5"/>
      <c r="X110" s="25"/>
    </row>
    <row r="111" spans="1:28" x14ac:dyDescent="0.15">
      <c r="A111" s="25" t="s">
        <v>196</v>
      </c>
      <c r="B111" s="31">
        <v>5.08</v>
      </c>
      <c r="C111">
        <f t="shared" si="12"/>
        <v>8.3176377110266992E-6</v>
      </c>
      <c r="D111">
        <f>DIC!O110</f>
        <v>2.0278553604162128E-4</v>
      </c>
      <c r="E111" s="31">
        <v>2</v>
      </c>
      <c r="F111">
        <f t="shared" si="13"/>
        <v>275.14999999999998</v>
      </c>
      <c r="G111">
        <f t="shared" si="14"/>
        <v>7.1743772542911699E-2</v>
      </c>
      <c r="H111">
        <f t="shared" si="15"/>
        <v>2.8081346341222542E-7</v>
      </c>
      <c r="I111">
        <f t="shared" si="16"/>
        <v>2.5339014130362006E-11</v>
      </c>
      <c r="J111">
        <f t="shared" si="17"/>
        <v>1.9616282279210612E-4</v>
      </c>
      <c r="K111">
        <f t="shared" si="18"/>
        <v>6.6226930740134918E-6</v>
      </c>
      <c r="L111">
        <f t="shared" si="19"/>
        <v>2.0175501652471504E-11</v>
      </c>
      <c r="M111">
        <f t="shared" si="20"/>
        <v>2.0278553604162125E-4</v>
      </c>
      <c r="N111" s="25">
        <f t="shared" si="21"/>
        <v>2734.2139371717085</v>
      </c>
      <c r="O111" s="28">
        <f t="shared" si="22"/>
        <v>6.8355348429292713</v>
      </c>
      <c r="P111" s="1">
        <f t="shared" si="23"/>
        <v>2.3559155017331945</v>
      </c>
      <c r="U111" s="1"/>
      <c r="V111" s="1"/>
      <c r="W111" s="5"/>
      <c r="X111" s="25"/>
    </row>
    <row r="112" spans="1:28" x14ac:dyDescent="0.15">
      <c r="A112" t="s">
        <v>197</v>
      </c>
      <c r="B112" s="31">
        <v>5.16</v>
      </c>
      <c r="C112">
        <f t="shared" si="12"/>
        <v>6.9183097091893498E-6</v>
      </c>
      <c r="D112">
        <f>DIC!O111</f>
        <v>1.6362571481328008E-4</v>
      </c>
      <c r="E112" s="31">
        <v>2</v>
      </c>
      <c r="F112">
        <f t="shared" si="13"/>
        <v>275.14999999999998</v>
      </c>
      <c r="G112">
        <f t="shared" si="14"/>
        <v>7.1743772542911699E-2</v>
      </c>
      <c r="H112">
        <f t="shared" si="15"/>
        <v>2.8081346341222542E-7</v>
      </c>
      <c r="I112">
        <f t="shared" si="16"/>
        <v>2.5339014130362006E-11</v>
      </c>
      <c r="J112">
        <f t="shared" si="17"/>
        <v>1.5724320623490602E-4</v>
      </c>
      <c r="K112">
        <f t="shared" si="18"/>
        <v>6.3824852018717683E-6</v>
      </c>
      <c r="L112">
        <f t="shared" si="19"/>
        <v>2.3376502283822345E-11</v>
      </c>
      <c r="M112">
        <f t="shared" si="20"/>
        <v>1.6362571481328008E-4</v>
      </c>
      <c r="N112" s="25">
        <f t="shared" si="21"/>
        <v>2191.7331729503776</v>
      </c>
      <c r="O112" s="28">
        <f t="shared" si="22"/>
        <v>5.4793329323759439</v>
      </c>
      <c r="P112" s="1">
        <f t="shared" si="23"/>
        <v>1.8884909068812215</v>
      </c>
    </row>
    <row r="113" spans="1:16" x14ac:dyDescent="0.15">
      <c r="A113" t="s">
        <v>176</v>
      </c>
      <c r="B113" s="31">
        <v>4.96</v>
      </c>
      <c r="C113">
        <f t="shared" si="12"/>
        <v>1.0964781961431843E-5</v>
      </c>
      <c r="D113">
        <f>DIC!O112</f>
        <v>1.3413743493582148E-4</v>
      </c>
      <c r="E113" s="31">
        <v>2</v>
      </c>
      <c r="F113">
        <f t="shared" si="13"/>
        <v>275.14999999999998</v>
      </c>
      <c r="G113">
        <f t="shared" si="14"/>
        <v>7.1743772542911699E-2</v>
      </c>
      <c r="H113">
        <f t="shared" si="15"/>
        <v>2.8081346341222542E-7</v>
      </c>
      <c r="I113">
        <f t="shared" si="16"/>
        <v>2.5339014130362006E-11</v>
      </c>
      <c r="J113">
        <f t="shared" si="17"/>
        <v>1.3078788507842233E-4</v>
      </c>
      <c r="K113">
        <f t="shared" si="18"/>
        <v>3.3495421167896958E-6</v>
      </c>
      <c r="L113">
        <f t="shared" si="19"/>
        <v>7.7406094645673584E-12</v>
      </c>
      <c r="M113">
        <f t="shared" si="20"/>
        <v>1.3413743493582151E-4</v>
      </c>
      <c r="N113" s="25">
        <f t="shared" si="21"/>
        <v>1822.9858905202527</v>
      </c>
      <c r="O113" s="28">
        <f t="shared" si="22"/>
        <v>4.5574647263006316</v>
      </c>
      <c r="P113" s="1">
        <f t="shared" si="23"/>
        <v>1.5707624997918519</v>
      </c>
    </row>
    <row r="114" spans="1:16" x14ac:dyDescent="0.15">
      <c r="A114" t="s">
        <v>198</v>
      </c>
      <c r="B114" s="31">
        <v>5.68</v>
      </c>
      <c r="C114">
        <f t="shared" si="12"/>
        <v>2.0892961308540377E-6</v>
      </c>
      <c r="D114">
        <f>DIC!O113</f>
        <v>2.9303693720254858E-4</v>
      </c>
      <c r="E114" s="31">
        <v>14.88625</v>
      </c>
      <c r="F114">
        <f t="shared" si="13"/>
        <v>288.03625</v>
      </c>
      <c r="G114">
        <f t="shared" si="14"/>
        <v>4.5690478781347958E-2</v>
      </c>
      <c r="H114">
        <f t="shared" si="15"/>
        <v>3.7977082567196447E-7</v>
      </c>
      <c r="I114">
        <f t="shared" si="16"/>
        <v>3.7080267902080778E-11</v>
      </c>
      <c r="J114">
        <f t="shared" si="17"/>
        <v>2.4796381733702756E-4</v>
      </c>
      <c r="K114">
        <f t="shared" si="18"/>
        <v>4.507231993406396E-5</v>
      </c>
      <c r="L114">
        <f t="shared" si="19"/>
        <v>7.999314570310413E-10</v>
      </c>
      <c r="M114">
        <f t="shared" si="20"/>
        <v>2.9303693720254852E-4</v>
      </c>
      <c r="N114" s="25">
        <f t="shared" si="21"/>
        <v>5427.034777281714</v>
      </c>
      <c r="O114" s="28">
        <f t="shared" si="22"/>
        <v>13.567586943204285</v>
      </c>
      <c r="P114" s="1">
        <f t="shared" si="23"/>
        <v>2.9780454462177013</v>
      </c>
    </row>
    <row r="115" spans="1:16" x14ac:dyDescent="0.15">
      <c r="A115" t="s">
        <v>199</v>
      </c>
      <c r="B115" s="31">
        <v>5.12</v>
      </c>
      <c r="C115">
        <f t="shared" si="12"/>
        <v>7.5857757502918323E-6</v>
      </c>
      <c r="D115">
        <f>DIC!O114</f>
        <v>9.8961161370311756E-5</v>
      </c>
      <c r="E115" s="31">
        <v>2</v>
      </c>
      <c r="F115">
        <f t="shared" si="13"/>
        <v>275.14999999999998</v>
      </c>
      <c r="G115">
        <f t="shared" si="14"/>
        <v>7.1743772542911699E-2</v>
      </c>
      <c r="H115">
        <f t="shared" si="15"/>
        <v>2.8081346341222542E-7</v>
      </c>
      <c r="I115">
        <f t="shared" si="16"/>
        <v>2.5339014130362006E-11</v>
      </c>
      <c r="J115">
        <f t="shared" si="17"/>
        <v>9.5428535574593567E-5</v>
      </c>
      <c r="K115">
        <f t="shared" si="18"/>
        <v>3.5326139956124399E-6</v>
      </c>
      <c r="L115">
        <f t="shared" si="19"/>
        <v>1.1800105737174545E-11</v>
      </c>
      <c r="M115">
        <f t="shared" si="20"/>
        <v>9.8961161370311743E-5</v>
      </c>
      <c r="N115" s="25">
        <f t="shared" si="21"/>
        <v>1330.1298801581061</v>
      </c>
      <c r="O115" s="28">
        <f t="shared" si="22"/>
        <v>3.3253247003952651</v>
      </c>
      <c r="P115" s="1">
        <f t="shared" si="23"/>
        <v>1.1460967122508687</v>
      </c>
    </row>
    <row r="116" spans="1:16" x14ac:dyDescent="0.15">
      <c r="A116" t="s">
        <v>200</v>
      </c>
      <c r="B116" s="31">
        <v>4.9000000000000004</v>
      </c>
      <c r="C116">
        <f t="shared" si="12"/>
        <v>1.2589254117941658E-5</v>
      </c>
      <c r="D116">
        <f>DIC!O115</f>
        <v>1.9741347164226378E-4</v>
      </c>
      <c r="E116" s="31">
        <v>2</v>
      </c>
      <c r="F116">
        <f t="shared" si="13"/>
        <v>275.14999999999998</v>
      </c>
      <c r="G116">
        <f t="shared" si="14"/>
        <v>7.1743772542911699E-2</v>
      </c>
      <c r="H116">
        <f t="shared" si="15"/>
        <v>2.8081346341222542E-7</v>
      </c>
      <c r="I116">
        <f t="shared" si="16"/>
        <v>2.5339014130362006E-11</v>
      </c>
      <c r="J116">
        <f t="shared" si="17"/>
        <v>1.931060762466604E-4</v>
      </c>
      <c r="K116">
        <f t="shared" si="18"/>
        <v>4.3073867259131994E-6</v>
      </c>
      <c r="L116">
        <f t="shared" si="19"/>
        <v>8.6696902048628669E-12</v>
      </c>
      <c r="M116">
        <f t="shared" si="20"/>
        <v>1.9741347164226381E-4</v>
      </c>
      <c r="N116" s="25">
        <f t="shared" si="21"/>
        <v>2691.6074998866129</v>
      </c>
      <c r="O116" s="28">
        <f t="shared" si="22"/>
        <v>6.7290187497165324</v>
      </c>
      <c r="P116" s="1">
        <f t="shared" si="23"/>
        <v>2.3192039757223912</v>
      </c>
    </row>
    <row r="117" spans="1:16" x14ac:dyDescent="0.15">
      <c r="A117" t="s">
        <v>201</v>
      </c>
      <c r="B117" s="31">
        <v>4.72</v>
      </c>
      <c r="C117">
        <f t="shared" si="12"/>
        <v>1.9054607179632454E-5</v>
      </c>
      <c r="D117">
        <f>DIC!O116</f>
        <v>3.8587378441002094E-4</v>
      </c>
      <c r="E117" s="31">
        <v>14.093958333333299</v>
      </c>
      <c r="F117">
        <f t="shared" si="13"/>
        <v>287.2439583333333</v>
      </c>
      <c r="G117">
        <f t="shared" si="14"/>
        <v>4.6859420497275719E-2</v>
      </c>
      <c r="H117">
        <f t="shared" si="15"/>
        <v>3.7401924803552306E-7</v>
      </c>
      <c r="I117">
        <f t="shared" si="16"/>
        <v>3.632436322673404E-11</v>
      </c>
      <c r="J117">
        <f t="shared" si="17"/>
        <v>3.7844533891223908E-4</v>
      </c>
      <c r="K117">
        <f t="shared" si="18"/>
        <v>7.428431336742709E-6</v>
      </c>
      <c r="L117">
        <f t="shared" si="19"/>
        <v>1.4161039140661018E-11</v>
      </c>
      <c r="M117">
        <f t="shared" si="20"/>
        <v>3.8587378441002094E-4</v>
      </c>
      <c r="N117" s="25">
        <f t="shared" si="21"/>
        <v>8076.1847862425211</v>
      </c>
      <c r="O117" s="28">
        <f t="shared" si="22"/>
        <v>20.190461965606303</v>
      </c>
      <c r="P117" s="1">
        <f t="shared" si="23"/>
        <v>4.5451285203359912</v>
      </c>
    </row>
    <row r="118" spans="1:16" x14ac:dyDescent="0.15">
      <c r="A118" t="s">
        <v>202</v>
      </c>
      <c r="B118" s="31">
        <v>4.66</v>
      </c>
      <c r="C118">
        <f t="shared" si="12"/>
        <v>2.1877616239495489E-5</v>
      </c>
      <c r="D118">
        <f>DIC!O117</f>
        <v>1.568342080374022E-4</v>
      </c>
      <c r="E118" s="31">
        <v>2</v>
      </c>
      <c r="F118">
        <f t="shared" si="13"/>
        <v>275.14999999999998</v>
      </c>
      <c r="G118">
        <f t="shared" si="14"/>
        <v>7.1743772542911699E-2</v>
      </c>
      <c r="H118">
        <f t="shared" si="15"/>
        <v>2.8081346341222542E-7</v>
      </c>
      <c r="I118">
        <f t="shared" si="16"/>
        <v>2.5339014130362006E-11</v>
      </c>
      <c r="J118">
        <f t="shared" si="17"/>
        <v>1.548466480842044E-4</v>
      </c>
      <c r="K118">
        <f t="shared" si="18"/>
        <v>1.9875576511759042E-6</v>
      </c>
      <c r="L118">
        <f t="shared" si="19"/>
        <v>2.302021886513206E-12</v>
      </c>
      <c r="M118">
        <f t="shared" si="20"/>
        <v>1.5683420803740218E-4</v>
      </c>
      <c r="N118" s="25">
        <f t="shared" si="21"/>
        <v>2158.3287663272354</v>
      </c>
      <c r="O118" s="28">
        <f t="shared" si="22"/>
        <v>5.3958219158180887</v>
      </c>
      <c r="P118" s="1">
        <f t="shared" si="23"/>
        <v>1.8597082434912948</v>
      </c>
    </row>
    <row r="119" spans="1:16" x14ac:dyDescent="0.15">
      <c r="A119" s="25" t="s">
        <v>203</v>
      </c>
      <c r="B119" s="31">
        <v>4.57</v>
      </c>
      <c r="C119">
        <f t="shared" si="12"/>
        <v>2.6915348039269089E-5</v>
      </c>
      <c r="D119">
        <f>DIC!O118</f>
        <v>2.4539073721119905E-4</v>
      </c>
      <c r="E119" s="31">
        <v>2</v>
      </c>
      <c r="F119">
        <f t="shared" si="13"/>
        <v>275.14999999999998</v>
      </c>
      <c r="G119">
        <f t="shared" si="14"/>
        <v>7.1743772542911699E-2</v>
      </c>
      <c r="H119">
        <f t="shared" si="15"/>
        <v>2.8081346341222542E-7</v>
      </c>
      <c r="I119">
        <f t="shared" si="16"/>
        <v>2.5339014130362006E-11</v>
      </c>
      <c r="J119">
        <f t="shared" si="17"/>
        <v>2.4285695732457108E-4</v>
      </c>
      <c r="K119">
        <f t="shared" si="18"/>
        <v>2.5337775012445945E-6</v>
      </c>
      <c r="L119">
        <f t="shared" si="19"/>
        <v>2.385383381019569E-12</v>
      </c>
      <c r="M119">
        <f t="shared" si="20"/>
        <v>2.4539073721119905E-4</v>
      </c>
      <c r="N119" s="25">
        <f t="shared" si="21"/>
        <v>3385.0597580342242</v>
      </c>
      <c r="O119" s="28">
        <f t="shared" si="22"/>
        <v>8.4626493950855597</v>
      </c>
      <c r="P119" s="1">
        <f t="shared" si="23"/>
        <v>2.9167120574680987</v>
      </c>
    </row>
    <row r="120" spans="1:16" x14ac:dyDescent="0.15">
      <c r="A120" s="25" t="s">
        <v>204</v>
      </c>
      <c r="B120" s="31">
        <v>4.26</v>
      </c>
      <c r="C120">
        <f t="shared" si="12"/>
        <v>5.4954087385762447E-5</v>
      </c>
      <c r="D120">
        <f>DIC!O119</f>
        <v>2.4910879726103513E-4</v>
      </c>
      <c r="E120" s="31">
        <v>8.7147083333333306</v>
      </c>
      <c r="F120">
        <f t="shared" si="13"/>
        <v>281.86470833333328</v>
      </c>
      <c r="G120">
        <f t="shared" si="14"/>
        <v>5.6093477560229019E-2</v>
      </c>
      <c r="H120">
        <f t="shared" si="15"/>
        <v>3.3346391953135367E-7</v>
      </c>
      <c r="I120">
        <f t="shared" si="16"/>
        <v>3.1284941973115309E-11</v>
      </c>
      <c r="J120">
        <f t="shared" si="17"/>
        <v>2.4760630997468556E-4</v>
      </c>
      <c r="K120">
        <f t="shared" si="18"/>
        <v>1.5024864309955893E-6</v>
      </c>
      <c r="L120">
        <f t="shared" si="19"/>
        <v>8.5535404271436008E-13</v>
      </c>
      <c r="M120">
        <f t="shared" si="20"/>
        <v>2.4910879726103519E-4</v>
      </c>
      <c r="N120" s="25">
        <f t="shared" si="21"/>
        <v>4414.1729260558723</v>
      </c>
      <c r="O120" s="28">
        <f t="shared" si="22"/>
        <v>11.03543231513968</v>
      </c>
      <c r="P120" s="1">
        <f t="shared" si="23"/>
        <v>2.9737517827959734</v>
      </c>
    </row>
    <row r="121" spans="1:16" x14ac:dyDescent="0.15">
      <c r="A121" s="25" t="s">
        <v>205</v>
      </c>
      <c r="B121" s="31">
        <v>4.6399999999999997</v>
      </c>
      <c r="C121">
        <f t="shared" si="12"/>
        <v>2.2908676527677729E-5</v>
      </c>
      <c r="D121">
        <f>DIC!O120</f>
        <v>1.8067775610541571E-4</v>
      </c>
      <c r="E121" s="31">
        <v>7.6369479166666698</v>
      </c>
      <c r="F121">
        <f t="shared" si="13"/>
        <v>280.78694791666663</v>
      </c>
      <c r="G121">
        <f t="shared" si="14"/>
        <v>5.8256801645800299E-2</v>
      </c>
      <c r="H121">
        <f t="shared" si="15"/>
        <v>3.2510218894534405E-7</v>
      </c>
      <c r="I121">
        <f t="shared" si="16"/>
        <v>3.0300606439398298E-11</v>
      </c>
      <c r="J121">
        <f t="shared" si="17"/>
        <v>1.7814959177516024E-4</v>
      </c>
      <c r="K121">
        <f t="shared" si="18"/>
        <v>2.5281609863341646E-6</v>
      </c>
      <c r="L121">
        <f t="shared" si="19"/>
        <v>3.3439212854483498E-12</v>
      </c>
      <c r="M121">
        <f t="shared" si="20"/>
        <v>1.8067775610541568E-4</v>
      </c>
      <c r="N121" s="25">
        <f t="shared" si="21"/>
        <v>3058.0050181660281</v>
      </c>
      <c r="O121" s="28">
        <f t="shared" si="22"/>
        <v>7.6450125454150699</v>
      </c>
      <c r="P121" s="1">
        <f t="shared" si="23"/>
        <v>2.1395765972196745</v>
      </c>
    </row>
    <row r="122" spans="1:16" x14ac:dyDescent="0.15">
      <c r="A122" s="25" t="s">
        <v>206</v>
      </c>
      <c r="B122" s="31">
        <v>5.0199999999999996</v>
      </c>
      <c r="C122">
        <f t="shared" si="12"/>
        <v>9.5499258602143587E-6</v>
      </c>
      <c r="D122">
        <f>DIC!O121</f>
        <v>1.5893232453288586E-4</v>
      </c>
      <c r="E122" s="31">
        <v>2</v>
      </c>
      <c r="F122">
        <f t="shared" si="13"/>
        <v>275.14999999999998</v>
      </c>
      <c r="G122">
        <f t="shared" si="14"/>
        <v>7.1743772542911699E-2</v>
      </c>
      <c r="H122">
        <f t="shared" si="15"/>
        <v>2.8081346341222542E-7</v>
      </c>
      <c r="I122">
        <f t="shared" si="16"/>
        <v>2.5339014130362006E-11</v>
      </c>
      <c r="J122">
        <f t="shared" si="17"/>
        <v>1.5439243693471264E-4</v>
      </c>
      <c r="K122">
        <f t="shared" si="18"/>
        <v>4.5398755524283291E-6</v>
      </c>
      <c r="L122">
        <f t="shared" si="19"/>
        <v>1.204574490492268E-11</v>
      </c>
      <c r="M122">
        <f t="shared" si="20"/>
        <v>1.5893232453288586E-4</v>
      </c>
      <c r="N122" s="25">
        <f t="shared" si="21"/>
        <v>2151.9977478514493</v>
      </c>
      <c r="O122" s="28">
        <f t="shared" si="22"/>
        <v>5.3799943696286228</v>
      </c>
      <c r="P122" s="1">
        <f t="shared" si="23"/>
        <v>1.8542531675858986</v>
      </c>
    </row>
    <row r="123" spans="1:16" x14ac:dyDescent="0.15">
      <c r="A123" s="25" t="s">
        <v>207</v>
      </c>
      <c r="B123" s="31">
        <v>4.7</v>
      </c>
      <c r="C123">
        <f t="shared" si="12"/>
        <v>1.9952623149688769E-5</v>
      </c>
      <c r="D123">
        <f>DIC!O122</f>
        <v>2.0467579340397102E-4</v>
      </c>
      <c r="E123" s="31">
        <v>2</v>
      </c>
      <c r="F123">
        <f t="shared" si="13"/>
        <v>275.14999999999998</v>
      </c>
      <c r="G123">
        <f t="shared" si="14"/>
        <v>7.1743772542911699E-2</v>
      </c>
      <c r="H123">
        <f t="shared" si="15"/>
        <v>2.8081346341222542E-7</v>
      </c>
      <c r="I123">
        <f t="shared" si="16"/>
        <v>2.5339014130362006E-11</v>
      </c>
      <c r="J123">
        <f t="shared" si="17"/>
        <v>2.0183515928430911E-4</v>
      </c>
      <c r="K123">
        <f t="shared" si="18"/>
        <v>2.8406305121774988E-6</v>
      </c>
      <c r="L123">
        <f t="shared" si="19"/>
        <v>3.6074843967734572E-12</v>
      </c>
      <c r="M123">
        <f t="shared" si="20"/>
        <v>2.0467579340397102E-4</v>
      </c>
      <c r="N123" s="25">
        <f t="shared" si="21"/>
        <v>2813.2777540181146</v>
      </c>
      <c r="O123" s="28">
        <f t="shared" si="22"/>
        <v>7.0331943850452863</v>
      </c>
      <c r="P123" s="1">
        <f t="shared" si="23"/>
        <v>2.4240402630045526</v>
      </c>
    </row>
    <row r="124" spans="1:16" x14ac:dyDescent="0.15">
      <c r="A124" s="25" t="s">
        <v>208</v>
      </c>
      <c r="B124" s="31">
        <v>4.57</v>
      </c>
      <c r="C124">
        <f t="shared" si="12"/>
        <v>2.6915348039269089E-5</v>
      </c>
      <c r="D124">
        <f>DIC!O123</f>
        <v>1.6091802688728951E-4</v>
      </c>
      <c r="E124" s="31">
        <v>2.4284062500000001</v>
      </c>
      <c r="F124">
        <f t="shared" si="13"/>
        <v>275.57840625</v>
      </c>
      <c r="G124">
        <f t="shared" si="14"/>
        <v>7.057317402232717E-2</v>
      </c>
      <c r="H124">
        <f t="shared" si="15"/>
        <v>2.8418979876322143E-7</v>
      </c>
      <c r="I124">
        <f t="shared" si="16"/>
        <v>2.5703730257288129E-11</v>
      </c>
      <c r="J124">
        <f t="shared" si="17"/>
        <v>1.5923670034537852E-4</v>
      </c>
      <c r="K124">
        <f t="shared" si="18"/>
        <v>1.681324936272361E-6</v>
      </c>
      <c r="L124">
        <f t="shared" si="19"/>
        <v>1.605638633159971E-12</v>
      </c>
      <c r="M124">
        <f t="shared" si="20"/>
        <v>1.6091802688728953E-4</v>
      </c>
      <c r="N124" s="25">
        <f t="shared" si="21"/>
        <v>2256.3346845502651</v>
      </c>
      <c r="O124" s="28">
        <f t="shared" si="22"/>
        <v>5.6408367113756626</v>
      </c>
      <c r="P124" s="1">
        <f t="shared" si="23"/>
        <v>1.9124327711479958</v>
      </c>
    </row>
    <row r="125" spans="1:16" x14ac:dyDescent="0.15">
      <c r="A125" t="s">
        <v>209</v>
      </c>
      <c r="B125" s="31">
        <v>4.24</v>
      </c>
      <c r="C125">
        <f t="shared" si="12"/>
        <v>5.7543993733715576E-5</v>
      </c>
      <c r="D125">
        <f>DIC!O124</f>
        <v>2.1189982607008054E-4</v>
      </c>
      <c r="E125" s="31">
        <v>12.859375</v>
      </c>
      <c r="F125">
        <f t="shared" si="13"/>
        <v>286.00937499999998</v>
      </c>
      <c r="G125">
        <f t="shared" si="14"/>
        <v>4.877097139465774E-2</v>
      </c>
      <c r="H125">
        <f t="shared" si="15"/>
        <v>3.6492736200897112E-7</v>
      </c>
      <c r="I125">
        <f t="shared" si="16"/>
        <v>3.5152225886176931E-11</v>
      </c>
      <c r="J125">
        <f t="shared" si="17"/>
        <v>2.1056448619472299E-4</v>
      </c>
      <c r="K125">
        <f t="shared" si="18"/>
        <v>1.3353390596313956E-6</v>
      </c>
      <c r="L125">
        <f t="shared" si="19"/>
        <v>8.1572614643351082E-13</v>
      </c>
      <c r="M125">
        <f t="shared" si="20"/>
        <v>2.1189982607008054E-4</v>
      </c>
      <c r="N125" s="25">
        <f t="shared" si="21"/>
        <v>4317.4142358334848</v>
      </c>
      <c r="O125" s="28">
        <f t="shared" si="22"/>
        <v>10.793535589583712</v>
      </c>
      <c r="P125" s="1">
        <f t="shared" si="23"/>
        <v>2.5288794791986229</v>
      </c>
    </row>
    <row r="126" spans="1:16" x14ac:dyDescent="0.15">
      <c r="A126" t="s">
        <v>210</v>
      </c>
      <c r="B126" s="31">
        <v>4.6100000000000003</v>
      </c>
      <c r="C126">
        <f t="shared" si="12"/>
        <v>2.4547089156850252E-5</v>
      </c>
      <c r="D126">
        <f>DIC!O125</f>
        <v>2.4215761218707033E-4</v>
      </c>
      <c r="E126" s="31">
        <v>2</v>
      </c>
      <c r="F126">
        <f t="shared" si="13"/>
        <v>275.14999999999998</v>
      </c>
      <c r="G126">
        <f t="shared" si="14"/>
        <v>7.1743772542911699E-2</v>
      </c>
      <c r="H126">
        <f t="shared" si="15"/>
        <v>2.8081346341222542E-7</v>
      </c>
      <c r="I126">
        <f t="shared" si="16"/>
        <v>2.5339014130362006E-11</v>
      </c>
      <c r="J126">
        <f t="shared" si="17"/>
        <v>2.3941871038731102E-4</v>
      </c>
      <c r="K126">
        <f t="shared" si="18"/>
        <v>2.7388989724994422E-6</v>
      </c>
      <c r="L126">
        <f t="shared" si="19"/>
        <v>2.8272598564473746E-12</v>
      </c>
      <c r="M126">
        <f t="shared" si="20"/>
        <v>2.4215761218707033E-4</v>
      </c>
      <c r="N126" s="25">
        <f t="shared" si="21"/>
        <v>3337.1357805879088</v>
      </c>
      <c r="O126" s="28">
        <f t="shared" si="22"/>
        <v>8.3428394514697715</v>
      </c>
      <c r="P126" s="1">
        <f t="shared" si="23"/>
        <v>2.8754187117516055</v>
      </c>
    </row>
    <row r="127" spans="1:16" x14ac:dyDescent="0.15">
      <c r="A127" t="s">
        <v>211</v>
      </c>
      <c r="B127" s="31">
        <v>4.6100000000000003</v>
      </c>
      <c r="C127">
        <f t="shared" si="12"/>
        <v>2.4547089156850252E-5</v>
      </c>
      <c r="D127">
        <f>DIC!O126</f>
        <v>1.9325716004057423E-4</v>
      </c>
      <c r="E127" s="31">
        <v>2</v>
      </c>
      <c r="F127">
        <f t="shared" si="13"/>
        <v>275.14999999999998</v>
      </c>
      <c r="G127">
        <f t="shared" si="14"/>
        <v>7.1743772542911699E-2</v>
      </c>
      <c r="H127">
        <f t="shared" si="15"/>
        <v>2.8081346341222542E-7</v>
      </c>
      <c r="I127">
        <f t="shared" si="16"/>
        <v>2.5339014130362006E-11</v>
      </c>
      <c r="J127">
        <f t="shared" si="17"/>
        <v>1.9107134238788528E-4</v>
      </c>
      <c r="K127">
        <f t="shared" si="18"/>
        <v>2.1858153963559396E-6</v>
      </c>
      <c r="L127">
        <f t="shared" si="19"/>
        <v>2.2563329957666096E-12</v>
      </c>
      <c r="M127">
        <f t="shared" si="20"/>
        <v>1.9325716004057423E-4</v>
      </c>
      <c r="N127" s="25">
        <f t="shared" si="21"/>
        <v>2663.2463782637142</v>
      </c>
      <c r="O127" s="28">
        <f t="shared" si="22"/>
        <v>6.6581159456592856</v>
      </c>
      <c r="P127" s="1">
        <f t="shared" si="23"/>
        <v>2.2947668220785022</v>
      </c>
    </row>
    <row r="128" spans="1:16" x14ac:dyDescent="0.15">
      <c r="A128" t="s">
        <v>212</v>
      </c>
      <c r="B128" s="31">
        <v>4.29</v>
      </c>
      <c r="C128">
        <f t="shared" si="12"/>
        <v>5.12861383991364E-5</v>
      </c>
      <c r="D128">
        <f>DIC!O127</f>
        <v>2.2469799068703758E-4</v>
      </c>
      <c r="E128" s="31">
        <v>2</v>
      </c>
      <c r="F128">
        <f t="shared" si="13"/>
        <v>275.14999999999998</v>
      </c>
      <c r="G128">
        <f t="shared" si="14"/>
        <v>7.1743772542911699E-2</v>
      </c>
      <c r="H128">
        <f t="shared" si="15"/>
        <v>2.8081346341222542E-7</v>
      </c>
      <c r="I128">
        <f t="shared" si="16"/>
        <v>2.5339014130362006E-11</v>
      </c>
      <c r="J128">
        <f t="shared" si="17"/>
        <v>2.234743726581876E-4</v>
      </c>
      <c r="K128">
        <f t="shared" si="18"/>
        <v>1.2236174242956206E-6</v>
      </c>
      <c r="L128">
        <f t="shared" si="19"/>
        <v>6.0455437223766466E-13</v>
      </c>
      <c r="M128">
        <f t="shared" si="20"/>
        <v>2.2469799068703761E-4</v>
      </c>
      <c r="N128" s="25">
        <f t="shared" si="21"/>
        <v>3114.8957566250388</v>
      </c>
      <c r="O128" s="28">
        <f t="shared" si="22"/>
        <v>7.787239391562597</v>
      </c>
      <c r="P128" s="1">
        <f t="shared" si="23"/>
        <v>2.6839272156248328</v>
      </c>
    </row>
    <row r="129" spans="1:16" x14ac:dyDescent="0.15">
      <c r="A129" t="s">
        <v>213</v>
      </c>
      <c r="B129" s="31">
        <v>4.8</v>
      </c>
      <c r="C129">
        <f t="shared" si="12"/>
        <v>1.5848931924611131E-5</v>
      </c>
      <c r="D129">
        <f>DIC!O128</f>
        <v>4.2014782822059925E-4</v>
      </c>
      <c r="E129" s="31">
        <v>14.88625</v>
      </c>
      <c r="F129">
        <f t="shared" si="13"/>
        <v>288.03625</v>
      </c>
      <c r="G129">
        <f t="shared" si="14"/>
        <v>4.5690478781347958E-2</v>
      </c>
      <c r="H129">
        <f t="shared" si="15"/>
        <v>3.7977082567196447E-7</v>
      </c>
      <c r="I129">
        <f t="shared" si="16"/>
        <v>3.7080267902080778E-11</v>
      </c>
      <c r="J129">
        <f t="shared" si="17"/>
        <v>4.1031584998707282E-4</v>
      </c>
      <c r="K129">
        <f t="shared" si="18"/>
        <v>9.8319552306177188E-6</v>
      </c>
      <c r="L129">
        <f t="shared" si="19"/>
        <v>2.3002908693578387E-11</v>
      </c>
      <c r="M129">
        <f t="shared" si="20"/>
        <v>4.2014782822059925E-4</v>
      </c>
      <c r="N129" s="25">
        <f t="shared" si="21"/>
        <v>8980.335967820376</v>
      </c>
      <c r="O129" s="28">
        <f t="shared" si="22"/>
        <v>22.45083991955094</v>
      </c>
      <c r="P129" s="1">
        <f t="shared" si="23"/>
        <v>4.9278933583447442</v>
      </c>
    </row>
    <row r="130" spans="1:16" x14ac:dyDescent="0.15">
      <c r="A130" t="s">
        <v>214</v>
      </c>
      <c r="B130" s="31">
        <v>4.8099999999999996</v>
      </c>
      <c r="C130">
        <f t="shared" si="12"/>
        <v>1.5488166189124811E-5</v>
      </c>
      <c r="D130">
        <f>DIC!O129</f>
        <v>2.3498904749416784E-4</v>
      </c>
      <c r="E130" s="31">
        <v>2</v>
      </c>
      <c r="F130">
        <f t="shared" si="13"/>
        <v>275.14999999999998</v>
      </c>
      <c r="G130">
        <f t="shared" si="14"/>
        <v>7.1743772542911699E-2</v>
      </c>
      <c r="H130">
        <f t="shared" si="15"/>
        <v>2.8081346341222542E-7</v>
      </c>
      <c r="I130">
        <f t="shared" si="16"/>
        <v>2.5339014130362006E-11</v>
      </c>
      <c r="J130">
        <f t="shared" si="17"/>
        <v>2.308043636540977E-4</v>
      </c>
      <c r="K130">
        <f t="shared" si="18"/>
        <v>4.1846769938374689E-6</v>
      </c>
      <c r="L130">
        <f t="shared" si="19"/>
        <v>6.846232677455547E-12</v>
      </c>
      <c r="M130">
        <f t="shared" si="20"/>
        <v>2.3498904749416784E-4</v>
      </c>
      <c r="N130" s="25">
        <f t="shared" si="21"/>
        <v>3217.0647775184666</v>
      </c>
      <c r="O130" s="28">
        <f t="shared" si="22"/>
        <v>8.0426619437961673</v>
      </c>
      <c r="P130" s="1">
        <f t="shared" si="23"/>
        <v>2.7719604074857136</v>
      </c>
    </row>
    <row r="131" spans="1:16" x14ac:dyDescent="0.15">
      <c r="A131" t="s">
        <v>215</v>
      </c>
      <c r="B131" s="31">
        <v>4.55</v>
      </c>
      <c r="C131">
        <f t="shared" si="12"/>
        <v>2.8183829312644511E-5</v>
      </c>
      <c r="D131">
        <f>DIC!O130</f>
        <v>2.0676806673095358E-4</v>
      </c>
      <c r="E131" s="31">
        <v>6.2139166666666696</v>
      </c>
      <c r="F131">
        <f t="shared" si="13"/>
        <v>279.36391666666663</v>
      </c>
      <c r="G131">
        <f t="shared" si="14"/>
        <v>6.1299897696248412E-2</v>
      </c>
      <c r="H131">
        <f t="shared" si="15"/>
        <v>3.139855781027457E-7</v>
      </c>
      <c r="I131">
        <f t="shared" si="16"/>
        <v>2.9016982727069382E-11</v>
      </c>
      <c r="J131">
        <f t="shared" si="17"/>
        <v>2.0448991813185819E-4</v>
      </c>
      <c r="K131">
        <f t="shared" si="18"/>
        <v>2.2781462536039622E-6</v>
      </c>
      <c r="L131">
        <f t="shared" si="19"/>
        <v>2.3454914432406956E-12</v>
      </c>
      <c r="M131">
        <f t="shared" si="20"/>
        <v>2.067680667309536E-4</v>
      </c>
      <c r="N131" s="25">
        <f t="shared" si="21"/>
        <v>3335.8933018965395</v>
      </c>
      <c r="O131" s="28">
        <f t="shared" si="22"/>
        <v>8.3397332547413487</v>
      </c>
      <c r="P131" s="1">
        <f t="shared" si="23"/>
        <v>2.4559239167636169</v>
      </c>
    </row>
    <row r="132" spans="1:16" x14ac:dyDescent="0.15">
      <c r="A132" t="s">
        <v>216</v>
      </c>
      <c r="B132" s="31">
        <v>4.6500000000000004</v>
      </c>
      <c r="C132">
        <f t="shared" si="12"/>
        <v>2.2387211385683359E-5</v>
      </c>
      <c r="D132">
        <f>DIC!O131</f>
        <v>2.1549277168482044E-4</v>
      </c>
      <c r="E132" s="31">
        <v>2</v>
      </c>
      <c r="F132">
        <f t="shared" si="13"/>
        <v>275.14999999999998</v>
      </c>
      <c r="G132">
        <f t="shared" si="14"/>
        <v>7.1743772542911699E-2</v>
      </c>
      <c r="H132">
        <f t="shared" si="15"/>
        <v>2.8081346341222542E-7</v>
      </c>
      <c r="I132">
        <f t="shared" si="16"/>
        <v>2.5339014130362006E-11</v>
      </c>
      <c r="J132">
        <f t="shared" si="17"/>
        <v>2.1282322550232098E-4</v>
      </c>
      <c r="K132">
        <f t="shared" si="18"/>
        <v>2.6695431609712096E-6</v>
      </c>
      <c r="L132">
        <f t="shared" si="19"/>
        <v>3.0215282605817921E-12</v>
      </c>
      <c r="M132">
        <f t="shared" si="20"/>
        <v>2.1549277168482044E-4</v>
      </c>
      <c r="N132" s="25">
        <f t="shared" si="21"/>
        <v>2966.4348271486033</v>
      </c>
      <c r="O132" s="28">
        <f t="shared" si="22"/>
        <v>7.4160870678715085</v>
      </c>
      <c r="P132" s="1">
        <f t="shared" si="23"/>
        <v>2.556006938282875</v>
      </c>
    </row>
    <row r="133" spans="1:16" x14ac:dyDescent="0.15">
      <c r="A133" t="s">
        <v>217</v>
      </c>
      <c r="B133" s="31">
        <v>4.6100000000000003</v>
      </c>
      <c r="C133">
        <f t="shared" si="12"/>
        <v>2.4547089156850252E-5</v>
      </c>
      <c r="D133">
        <f>DIC!O132</f>
        <v>2.3708716398965148E-4</v>
      </c>
      <c r="E133" s="31">
        <v>10.7601041666667</v>
      </c>
      <c r="F133">
        <f t="shared" si="13"/>
        <v>283.91010416666666</v>
      </c>
      <c r="G133">
        <f t="shared" si="14"/>
        <v>5.2294037379951072E-2</v>
      </c>
      <c r="H133">
        <f t="shared" si="15"/>
        <v>3.4914986759939156E-7</v>
      </c>
      <c r="I133">
        <f t="shared" si="16"/>
        <v>3.3178719088324193E-11</v>
      </c>
      <c r="J133">
        <f t="shared" si="17"/>
        <v>2.3376220144598952E-4</v>
      </c>
      <c r="K133">
        <f t="shared" si="18"/>
        <v>3.3249580495303952E-6</v>
      </c>
      <c r="L133">
        <f t="shared" si="19"/>
        <v>4.494131601548584E-12</v>
      </c>
      <c r="M133">
        <f t="shared" si="20"/>
        <v>2.370871639896515E-4</v>
      </c>
      <c r="N133" s="25">
        <f t="shared" si="21"/>
        <v>4470.1501960453188</v>
      </c>
      <c r="O133" s="28">
        <f t="shared" si="22"/>
        <v>11.175375490113296</v>
      </c>
      <c r="P133" s="1">
        <f t="shared" si="23"/>
        <v>2.8074840393663343</v>
      </c>
    </row>
    <row r="134" spans="1:16" x14ac:dyDescent="0.15">
      <c r="A134" t="s">
        <v>218</v>
      </c>
      <c r="B134" s="31">
        <v>4.6399999999999997</v>
      </c>
      <c r="C134">
        <f t="shared" si="12"/>
        <v>2.2908676527677729E-5</v>
      </c>
      <c r="D134">
        <f>DIC!O133</f>
        <v>1.9979315533123087E-4</v>
      </c>
      <c r="E134" s="31">
        <v>2</v>
      </c>
      <c r="F134">
        <f t="shared" si="13"/>
        <v>275.14999999999998</v>
      </c>
      <c r="G134">
        <f t="shared" si="14"/>
        <v>7.1743772542911699E-2</v>
      </c>
      <c r="H134">
        <f t="shared" si="15"/>
        <v>2.8081346341222542E-7</v>
      </c>
      <c r="I134">
        <f t="shared" si="16"/>
        <v>2.5339014130362006E-11</v>
      </c>
      <c r="J134">
        <f t="shared" si="17"/>
        <v>1.9737375459230396E-4</v>
      </c>
      <c r="K134">
        <f t="shared" si="18"/>
        <v>2.4193980628595483E-6</v>
      </c>
      <c r="L134">
        <f t="shared" si="19"/>
        <v>2.6760673680865456E-12</v>
      </c>
      <c r="M134">
        <f t="shared" si="20"/>
        <v>1.9979315533123087E-4</v>
      </c>
      <c r="N134" s="25">
        <f t="shared" si="21"/>
        <v>2751.0925003874017</v>
      </c>
      <c r="O134" s="28">
        <f t="shared" si="22"/>
        <v>6.8777312509685045</v>
      </c>
      <c r="P134" s="1">
        <f t="shared" si="23"/>
        <v>2.3704587926535705</v>
      </c>
    </row>
    <row r="135" spans="1:16" x14ac:dyDescent="0.15">
      <c r="A135" t="s">
        <v>219</v>
      </c>
      <c r="B135" s="31">
        <v>4.58</v>
      </c>
      <c r="C135">
        <f t="shared" si="12"/>
        <v>2.6302679918953804E-5</v>
      </c>
      <c r="D135">
        <f>DIC!O134</f>
        <v>1.6400277273030464E-4</v>
      </c>
      <c r="E135" s="31">
        <v>11.219687499999999</v>
      </c>
      <c r="F135">
        <f t="shared" si="13"/>
        <v>284.3696875</v>
      </c>
      <c r="G135">
        <f t="shared" si="14"/>
        <v>5.1491728692105526E-2</v>
      </c>
      <c r="H135">
        <f t="shared" si="15"/>
        <v>3.526347961370343E-7</v>
      </c>
      <c r="I135">
        <f t="shared" si="16"/>
        <v>3.3608402675061751E-11</v>
      </c>
      <c r="J135">
        <f t="shared" si="17"/>
        <v>1.6183310571024628E-4</v>
      </c>
      <c r="K135">
        <f t="shared" si="18"/>
        <v>2.1696642477572193E-6</v>
      </c>
      <c r="L135">
        <f t="shared" si="19"/>
        <v>2.7723011469931594E-12</v>
      </c>
      <c r="M135">
        <f t="shared" si="20"/>
        <v>1.6400277273030466E-4</v>
      </c>
      <c r="N135" s="25">
        <f t="shared" si="21"/>
        <v>3142.895175998583</v>
      </c>
      <c r="O135" s="28">
        <f t="shared" si="22"/>
        <v>7.8572379399964571</v>
      </c>
      <c r="P135" s="1">
        <f t="shared" si="23"/>
        <v>1.9436155995800579</v>
      </c>
    </row>
    <row r="136" spans="1:16" x14ac:dyDescent="0.15">
      <c r="A136" t="s">
        <v>220</v>
      </c>
      <c r="B136" s="31">
        <v>4.78</v>
      </c>
      <c r="C136">
        <f t="shared" ref="C136:C199" si="24">10^-B136</f>
        <v>1.6595869074375568E-5</v>
      </c>
      <c r="D136">
        <f>DIC!O135</f>
        <v>2.1896763587305167E-4</v>
      </c>
      <c r="E136" s="31">
        <v>2</v>
      </c>
      <c r="F136">
        <f t="shared" ref="F136:F199" si="25">E136+273.15</f>
        <v>275.14999999999998</v>
      </c>
      <c r="G136">
        <f t="shared" ref="G136:G199" si="26">EXP(-58.0931+(90.5069*(100/F136))+(22.294*LN(F136/100)))</f>
        <v>7.1743772542911699E-2</v>
      </c>
      <c r="H136">
        <f t="shared" ref="H136:H199" si="27">10^((-3404.71/F136)+14.8435-0.032786*F136)</f>
        <v>2.8081346341222542E-7</v>
      </c>
      <c r="I136">
        <f t="shared" ref="I136:I199" si="28">10^((-2902.39/F136)+6.498-0.02379*F136)</f>
        <v>2.5339014130362006E-11</v>
      </c>
      <c r="J136">
        <f t="shared" ref="J136:J199" si="29">D136/(1+(H136/C136)+(H136*I136/C136^2))</f>
        <v>2.1532419751435668E-4</v>
      </c>
      <c r="K136">
        <f t="shared" ref="K136:K199" si="30">J136*H136/C136</f>
        <v>3.6434327958049204E-6</v>
      </c>
      <c r="L136">
        <f t="shared" ref="L136:L199" si="31">K136*I136/C136</f>
        <v>5.5628900590973647E-12</v>
      </c>
      <c r="M136">
        <f t="shared" ref="M136:M199" si="32">SUM(J136:L136)</f>
        <v>2.1896763587305165E-4</v>
      </c>
      <c r="N136" s="25">
        <f t="shared" ref="N136:N199" si="33">J136/G136*1000000</f>
        <v>3001.2946055431644</v>
      </c>
      <c r="O136" s="28">
        <f t="shared" ref="O136:O199" si="34">N136/$Q$2</f>
        <v>7.5032365138579111</v>
      </c>
      <c r="P136" s="1">
        <f t="shared" ref="P136:P199" si="35">J136*1000*12.01</f>
        <v>2.5860436121474235</v>
      </c>
    </row>
    <row r="137" spans="1:16" x14ac:dyDescent="0.15">
      <c r="A137" t="s">
        <v>221</v>
      </c>
      <c r="B137" s="31">
        <v>4.62</v>
      </c>
      <c r="C137">
        <f t="shared" si="24"/>
        <v>2.3988329190194856E-5</v>
      </c>
      <c r="D137">
        <f>DIC!O136</f>
        <v>1.6790322848991965E-4</v>
      </c>
      <c r="E137" s="31">
        <v>2</v>
      </c>
      <c r="F137">
        <f t="shared" si="25"/>
        <v>275.14999999999998</v>
      </c>
      <c r="G137">
        <f t="shared" si="26"/>
        <v>7.1743772542911699E-2</v>
      </c>
      <c r="H137">
        <f t="shared" si="27"/>
        <v>2.8081346341222542E-7</v>
      </c>
      <c r="I137">
        <f t="shared" si="28"/>
        <v>2.5339014130362006E-11</v>
      </c>
      <c r="J137">
        <f t="shared" si="29"/>
        <v>1.659604513176347E-4</v>
      </c>
      <c r="K137">
        <f t="shared" si="30"/>
        <v>1.9427751201200879E-6</v>
      </c>
      <c r="L137">
        <f t="shared" si="31"/>
        <v>2.0521648602754884E-12</v>
      </c>
      <c r="M137">
        <f t="shared" si="32"/>
        <v>1.6790322848991965E-4</v>
      </c>
      <c r="N137" s="25">
        <f t="shared" si="33"/>
        <v>2313.2384238418699</v>
      </c>
      <c r="O137" s="28">
        <f t="shared" si="34"/>
        <v>5.7830960596046745</v>
      </c>
      <c r="P137" s="1">
        <f t="shared" si="35"/>
        <v>1.9931850203247927</v>
      </c>
    </row>
    <row r="138" spans="1:16" x14ac:dyDescent="0.15">
      <c r="A138" t="s">
        <v>222</v>
      </c>
      <c r="B138" s="31">
        <v>4.63</v>
      </c>
      <c r="C138">
        <f t="shared" si="24"/>
        <v>2.3442288153199218E-5</v>
      </c>
      <c r="D138">
        <f>DIC!O137</f>
        <v>1.7150239832480055E-4</v>
      </c>
      <c r="E138" s="31">
        <v>2</v>
      </c>
      <c r="F138">
        <f t="shared" si="25"/>
        <v>275.14999999999998</v>
      </c>
      <c r="G138">
        <f t="shared" si="26"/>
        <v>7.1743772542911699E-2</v>
      </c>
      <c r="H138">
        <f t="shared" si="27"/>
        <v>2.8081346341222542E-7</v>
      </c>
      <c r="I138">
        <f t="shared" si="28"/>
        <v>2.5339014130362006E-11</v>
      </c>
      <c r="J138">
        <f t="shared" si="29"/>
        <v>1.6947229978726331E-4</v>
      </c>
      <c r="K138">
        <f t="shared" si="30"/>
        <v>2.0300963431848969E-6</v>
      </c>
      <c r="L138">
        <f t="shared" si="31"/>
        <v>2.1943523426461305E-12</v>
      </c>
      <c r="M138">
        <f t="shared" si="32"/>
        <v>1.7150239832480055E-4</v>
      </c>
      <c r="N138" s="25">
        <f t="shared" si="33"/>
        <v>2362.1882956586624</v>
      </c>
      <c r="O138" s="28">
        <f t="shared" si="34"/>
        <v>5.9054707391466561</v>
      </c>
      <c r="P138" s="1">
        <f t="shared" si="35"/>
        <v>2.0353623204450324</v>
      </c>
    </row>
    <row r="139" spans="1:16" x14ac:dyDescent="0.15">
      <c r="A139" t="s">
        <v>223</v>
      </c>
      <c r="B139" s="31">
        <v>4.5599999999999996</v>
      </c>
      <c r="C139">
        <f t="shared" si="24"/>
        <v>2.754228703338164E-5</v>
      </c>
      <c r="D139">
        <f>DIC!O138</f>
        <v>1.9224421483371695E-4</v>
      </c>
      <c r="E139" s="31">
        <v>9.5078125</v>
      </c>
      <c r="F139">
        <f t="shared" si="25"/>
        <v>282.65781249999998</v>
      </c>
      <c r="G139">
        <f t="shared" si="26"/>
        <v>5.4574393922993833E-2</v>
      </c>
      <c r="H139">
        <f t="shared" si="27"/>
        <v>3.3957759799746477E-7</v>
      </c>
      <c r="I139">
        <f t="shared" si="28"/>
        <v>3.2015467749619897E-11</v>
      </c>
      <c r="J139">
        <f t="shared" si="29"/>
        <v>1.899028397311062E-4</v>
      </c>
      <c r="K139">
        <f t="shared" si="30"/>
        <v>2.3413723809728554E-6</v>
      </c>
      <c r="L139">
        <f t="shared" si="31"/>
        <v>2.7216378894764428E-12</v>
      </c>
      <c r="M139">
        <f t="shared" si="32"/>
        <v>1.9224421483371692E-4</v>
      </c>
      <c r="N139" s="25">
        <f t="shared" si="33"/>
        <v>3479.7058854939373</v>
      </c>
      <c r="O139" s="28">
        <f t="shared" si="34"/>
        <v>8.6992647137348431</v>
      </c>
      <c r="P139" s="1">
        <f t="shared" si="35"/>
        <v>2.2807331051705853</v>
      </c>
    </row>
    <row r="140" spans="1:16" x14ac:dyDescent="0.15">
      <c r="A140" t="s">
        <v>224</v>
      </c>
      <c r="B140" s="31">
        <v>4.46</v>
      </c>
      <c r="C140">
        <f t="shared" si="24"/>
        <v>3.4673685045253161E-5</v>
      </c>
      <c r="D140">
        <f>DIC!O139</f>
        <v>1.0595598875326301E-4</v>
      </c>
      <c r="E140" s="31">
        <v>2</v>
      </c>
      <c r="F140">
        <f t="shared" si="25"/>
        <v>275.14999999999998</v>
      </c>
      <c r="G140">
        <f t="shared" si="26"/>
        <v>7.1743772542911699E-2</v>
      </c>
      <c r="H140">
        <f t="shared" si="27"/>
        <v>2.8081346341222542E-7</v>
      </c>
      <c r="I140">
        <f t="shared" si="28"/>
        <v>2.5339014130362006E-11</v>
      </c>
      <c r="J140">
        <f t="shared" si="29"/>
        <v>1.0510477099848111E-4</v>
      </c>
      <c r="K140">
        <f t="shared" si="30"/>
        <v>8.5121713272506348E-7</v>
      </c>
      <c r="L140">
        <f t="shared" si="31"/>
        <v>6.2205684010731991E-13</v>
      </c>
      <c r="M140">
        <f t="shared" si="32"/>
        <v>1.0595598875326301E-4</v>
      </c>
      <c r="N140" s="25">
        <f t="shared" si="33"/>
        <v>1465.0020102527419</v>
      </c>
      <c r="O140" s="28">
        <f t="shared" si="34"/>
        <v>3.6625050256318548</v>
      </c>
      <c r="P140" s="1">
        <f t="shared" si="35"/>
        <v>1.2623082996917583</v>
      </c>
    </row>
    <row r="141" spans="1:16" x14ac:dyDescent="0.15">
      <c r="A141" t="s">
        <v>225</v>
      </c>
      <c r="B141" s="31">
        <v>4.5999999999999996</v>
      </c>
      <c r="C141">
        <f t="shared" si="24"/>
        <v>2.5118864315095791E-5</v>
      </c>
      <c r="D141">
        <f>DIC!O140</f>
        <v>2.029266749275549E-4</v>
      </c>
      <c r="E141" s="31">
        <v>3.3451249999999999</v>
      </c>
      <c r="F141">
        <f t="shared" si="25"/>
        <v>276.49512499999997</v>
      </c>
      <c r="G141">
        <f t="shared" si="26"/>
        <v>6.8156007933084253E-2</v>
      </c>
      <c r="H141">
        <f t="shared" si="27"/>
        <v>2.9141719407551625E-7</v>
      </c>
      <c r="I141">
        <f t="shared" si="28"/>
        <v>2.6491479203604486E-11</v>
      </c>
      <c r="J141">
        <f t="shared" si="29"/>
        <v>2.0059941287649627E-4</v>
      </c>
      <c r="K141">
        <f t="shared" si="30"/>
        <v>2.3272595966264568E-6</v>
      </c>
      <c r="L141">
        <f t="shared" si="31"/>
        <v>2.4544321921579531E-12</v>
      </c>
      <c r="M141">
        <f t="shared" si="32"/>
        <v>2.0292667492755493E-4</v>
      </c>
      <c r="N141" s="25">
        <f t="shared" si="33"/>
        <v>2943.2388861954078</v>
      </c>
      <c r="O141" s="28">
        <f t="shared" si="34"/>
        <v>7.3580972154885194</v>
      </c>
      <c r="P141" s="1">
        <f t="shared" si="35"/>
        <v>2.4091989486467202</v>
      </c>
    </row>
    <row r="142" spans="1:16" x14ac:dyDescent="0.15">
      <c r="A142" t="s">
        <v>226</v>
      </c>
      <c r="B142" s="31">
        <v>4.74</v>
      </c>
      <c r="C142">
        <f t="shared" si="24"/>
        <v>1.8197008586099817E-5</v>
      </c>
      <c r="D142">
        <f>DIC!O141</f>
        <v>1.8480909464385073E-4</v>
      </c>
      <c r="E142" s="31">
        <v>2</v>
      </c>
      <c r="F142">
        <f t="shared" si="25"/>
        <v>275.14999999999998</v>
      </c>
      <c r="G142">
        <f t="shared" si="26"/>
        <v>7.1743772542911699E-2</v>
      </c>
      <c r="H142">
        <f t="shared" si="27"/>
        <v>2.8081346341222542E-7</v>
      </c>
      <c r="I142">
        <f t="shared" si="28"/>
        <v>2.5339014130362006E-11</v>
      </c>
      <c r="J142">
        <f t="shared" si="29"/>
        <v>1.8200048695376643E-4</v>
      </c>
      <c r="K142">
        <f t="shared" si="30"/>
        <v>2.8086037791529542E-6</v>
      </c>
      <c r="L142">
        <f t="shared" si="31"/>
        <v>3.9109313220255059E-12</v>
      </c>
      <c r="M142">
        <f t="shared" si="32"/>
        <v>1.848090946438507E-4</v>
      </c>
      <c r="N142" s="25">
        <f t="shared" si="33"/>
        <v>2536.8123323164741</v>
      </c>
      <c r="O142" s="28">
        <f t="shared" si="34"/>
        <v>6.3420308307911855</v>
      </c>
      <c r="P142" s="1">
        <f t="shared" si="35"/>
        <v>2.1858258483147348</v>
      </c>
    </row>
    <row r="143" spans="1:16" x14ac:dyDescent="0.15">
      <c r="A143" t="s">
        <v>227</v>
      </c>
      <c r="B143" s="31">
        <v>4.84</v>
      </c>
      <c r="C143">
        <f t="shared" si="24"/>
        <v>1.4454397707459275E-5</v>
      </c>
      <c r="D143">
        <f>DIC!O142</f>
        <v>2.5142429337545634E-4</v>
      </c>
      <c r="E143" s="31">
        <v>7.38905208333333</v>
      </c>
      <c r="F143">
        <f t="shared" si="25"/>
        <v>280.53905208333333</v>
      </c>
      <c r="G143">
        <f t="shared" si="26"/>
        <v>5.8771222678269348E-2</v>
      </c>
      <c r="H143">
        <f t="shared" si="27"/>
        <v>3.2317125794704844E-7</v>
      </c>
      <c r="I143">
        <f t="shared" si="28"/>
        <v>3.007564112329134E-11</v>
      </c>
      <c r="J143">
        <f t="shared" si="29"/>
        <v>2.459258740666413E-4</v>
      </c>
      <c r="K143">
        <f t="shared" si="30"/>
        <v>5.4984078681348137E-6</v>
      </c>
      <c r="L143">
        <f t="shared" si="31"/>
        <v>1.1440680209467662E-11</v>
      </c>
      <c r="M143">
        <f t="shared" si="32"/>
        <v>2.5142429337545634E-4</v>
      </c>
      <c r="N143" s="25">
        <f t="shared" si="33"/>
        <v>4184.4607421715655</v>
      </c>
      <c r="O143" s="28">
        <f t="shared" si="34"/>
        <v>10.461151855428914</v>
      </c>
      <c r="P143" s="1">
        <f t="shared" si="35"/>
        <v>2.9535697475403619</v>
      </c>
    </row>
    <row r="144" spans="1:16" x14ac:dyDescent="0.15">
      <c r="A144" t="s">
        <v>228</v>
      </c>
      <c r="B144" s="31">
        <v>5.12</v>
      </c>
      <c r="C144">
        <f t="shared" si="24"/>
        <v>7.5857757502918323E-6</v>
      </c>
      <c r="D144">
        <f>DIC!O143</f>
        <v>1.9827200882320415E-4</v>
      </c>
      <c r="E144" s="31">
        <v>2</v>
      </c>
      <c r="F144">
        <f t="shared" si="25"/>
        <v>275.14999999999998</v>
      </c>
      <c r="G144">
        <f t="shared" si="26"/>
        <v>7.1743772542911699E-2</v>
      </c>
      <c r="H144">
        <f t="shared" si="27"/>
        <v>2.8081346341222542E-7</v>
      </c>
      <c r="I144">
        <f t="shared" si="28"/>
        <v>2.5339014130362006E-11</v>
      </c>
      <c r="J144">
        <f t="shared" si="29"/>
        <v>1.9119427445510445E-4</v>
      </c>
      <c r="K144">
        <f t="shared" si="30"/>
        <v>7.0777107261917083E-6</v>
      </c>
      <c r="L144">
        <f t="shared" si="31"/>
        <v>2.3641907961052891E-11</v>
      </c>
      <c r="M144">
        <f t="shared" si="32"/>
        <v>1.9827200882320412E-4</v>
      </c>
      <c r="N144" s="25">
        <f t="shared" si="33"/>
        <v>2664.9598658998102</v>
      </c>
      <c r="O144" s="28">
        <f t="shared" si="34"/>
        <v>6.6623996647495254</v>
      </c>
      <c r="P144" s="1">
        <f t="shared" si="35"/>
        <v>2.2962432362058043</v>
      </c>
    </row>
    <row r="145" spans="1:16" x14ac:dyDescent="0.15">
      <c r="A145" t="s">
        <v>229</v>
      </c>
      <c r="B145" s="31">
        <v>4.6100000000000003</v>
      </c>
      <c r="C145">
        <f t="shared" si="24"/>
        <v>2.4547089156850252E-5</v>
      </c>
      <c r="D145">
        <f>DIC!O144</f>
        <v>2.0779829177152318E-4</v>
      </c>
      <c r="E145" s="31">
        <v>8.6948124999999994</v>
      </c>
      <c r="F145">
        <f t="shared" si="25"/>
        <v>281.84481249999999</v>
      </c>
      <c r="G145">
        <f t="shared" si="26"/>
        <v>5.6132362956976295E-2</v>
      </c>
      <c r="H145">
        <f t="shared" si="27"/>
        <v>3.3331009292148373E-7</v>
      </c>
      <c r="I145">
        <f t="shared" si="28"/>
        <v>3.1266681395394158E-11</v>
      </c>
      <c r="J145">
        <f t="shared" si="29"/>
        <v>2.0501451992432806E-4</v>
      </c>
      <c r="K145">
        <f t="shared" si="30"/>
        <v>2.7837683013898884E-6</v>
      </c>
      <c r="L145">
        <f t="shared" si="31"/>
        <v>3.5458052073708124E-12</v>
      </c>
      <c r="M145">
        <f t="shared" si="32"/>
        <v>2.0779829177152315E-4</v>
      </c>
      <c r="N145" s="25">
        <f t="shared" si="33"/>
        <v>3652.3408088390165</v>
      </c>
      <c r="O145" s="28">
        <f t="shared" si="34"/>
        <v>9.1308520220975407</v>
      </c>
      <c r="P145" s="1">
        <f t="shared" si="35"/>
        <v>2.4622243842911802</v>
      </c>
    </row>
    <row r="146" spans="1:16" x14ac:dyDescent="0.15">
      <c r="A146" t="s">
        <v>230</v>
      </c>
      <c r="B146" s="31">
        <v>4.8600000000000003</v>
      </c>
      <c r="C146">
        <f t="shared" si="24"/>
        <v>1.3803842646028827E-5</v>
      </c>
      <c r="D146">
        <f>DIC!O145</f>
        <v>1.7029712221675557E-4</v>
      </c>
      <c r="E146" s="31">
        <v>2</v>
      </c>
      <c r="F146">
        <f t="shared" si="25"/>
        <v>275.14999999999998</v>
      </c>
      <c r="G146">
        <f t="shared" si="26"/>
        <v>7.1743772542911699E-2</v>
      </c>
      <c r="H146">
        <f t="shared" si="27"/>
        <v>2.8081346341222542E-7</v>
      </c>
      <c r="I146">
        <f t="shared" si="28"/>
        <v>2.5339014130362006E-11</v>
      </c>
      <c r="J146">
        <f t="shared" si="29"/>
        <v>1.669018095899543E-4</v>
      </c>
      <c r="K146">
        <f t="shared" si="30"/>
        <v>3.3953063942094556E-6</v>
      </c>
      <c r="L146">
        <f t="shared" si="31"/>
        <v>6.2325918156226274E-12</v>
      </c>
      <c r="M146">
        <f t="shared" si="32"/>
        <v>1.7029712221675557E-4</v>
      </c>
      <c r="N146" s="25">
        <f t="shared" si="33"/>
        <v>2326.359538594465</v>
      </c>
      <c r="O146" s="28">
        <f t="shared" si="34"/>
        <v>5.8158988464861627</v>
      </c>
      <c r="P146" s="1">
        <f t="shared" si="35"/>
        <v>2.0044907331753512</v>
      </c>
    </row>
    <row r="147" spans="1:16" x14ac:dyDescent="0.15">
      <c r="A147" t="s">
        <v>231</v>
      </c>
      <c r="B147" s="31">
        <v>4.87</v>
      </c>
      <c r="C147">
        <f t="shared" si="24"/>
        <v>1.3489628825916516E-5</v>
      </c>
      <c r="D147">
        <f>DIC!O146</f>
        <v>1.6033106886320829E-4</v>
      </c>
      <c r="E147" s="31">
        <v>2</v>
      </c>
      <c r="F147">
        <f t="shared" si="25"/>
        <v>275.14999999999998</v>
      </c>
      <c r="G147">
        <f t="shared" si="26"/>
        <v>7.1743772542911699E-2</v>
      </c>
      <c r="H147">
        <f t="shared" si="27"/>
        <v>2.8081346341222542E-7</v>
      </c>
      <c r="I147">
        <f t="shared" si="28"/>
        <v>2.5339014130362006E-11</v>
      </c>
      <c r="J147">
        <f t="shared" si="29"/>
        <v>1.5706151479651917E-4</v>
      </c>
      <c r="K147">
        <f t="shared" si="30"/>
        <v>3.2695479251471871E-6</v>
      </c>
      <c r="L147">
        <f t="shared" si="31"/>
        <v>6.1415419315343189E-12</v>
      </c>
      <c r="M147">
        <f t="shared" si="32"/>
        <v>1.6033106886320826E-4</v>
      </c>
      <c r="N147" s="25">
        <f t="shared" si="33"/>
        <v>2189.2006682890401</v>
      </c>
      <c r="O147" s="28">
        <f t="shared" si="34"/>
        <v>5.4730016707226001</v>
      </c>
      <c r="P147" s="1">
        <f t="shared" si="35"/>
        <v>1.8863087927061952</v>
      </c>
    </row>
    <row r="148" spans="1:16" x14ac:dyDescent="0.15">
      <c r="A148" t="s">
        <v>232</v>
      </c>
      <c r="B148" s="31">
        <v>4.95</v>
      </c>
      <c r="C148">
        <f t="shared" si="24"/>
        <v>1.1220184543019627E-5</v>
      </c>
      <c r="D148">
        <f>DIC!O147</f>
        <v>1.6129154199669266E-4</v>
      </c>
      <c r="E148" s="31">
        <v>2</v>
      </c>
      <c r="F148">
        <f t="shared" si="25"/>
        <v>275.14999999999998</v>
      </c>
      <c r="G148">
        <f t="shared" si="26"/>
        <v>7.1743772542911699E-2</v>
      </c>
      <c r="H148">
        <f t="shared" si="27"/>
        <v>2.8081346341222542E-7</v>
      </c>
      <c r="I148">
        <f t="shared" si="28"/>
        <v>2.5339014130362006E-11</v>
      </c>
      <c r="J148">
        <f t="shared" si="29"/>
        <v>1.5735336756251815E-4</v>
      </c>
      <c r="K148">
        <f t="shared" si="30"/>
        <v>3.9381655404498234E-6</v>
      </c>
      <c r="L148">
        <f t="shared" si="31"/>
        <v>8.8937246882667638E-12</v>
      </c>
      <c r="M148">
        <f t="shared" si="32"/>
        <v>1.6129154199669266E-4</v>
      </c>
      <c r="N148" s="25">
        <f t="shared" si="33"/>
        <v>2193.2686557345623</v>
      </c>
      <c r="O148" s="28">
        <f t="shared" si="34"/>
        <v>5.4831716393364056</v>
      </c>
      <c r="P148" s="1">
        <f t="shared" si="35"/>
        <v>1.8898139444258431</v>
      </c>
    </row>
    <row r="149" spans="1:16" x14ac:dyDescent="0.15">
      <c r="A149" t="s">
        <v>233</v>
      </c>
      <c r="B149" s="31">
        <v>4.68</v>
      </c>
      <c r="C149">
        <f t="shared" si="24"/>
        <v>2.0892961308540399E-5</v>
      </c>
      <c r="D149">
        <f>DIC!O148</f>
        <v>2.2855916696943199E-4</v>
      </c>
      <c r="E149" s="31">
        <v>17.422916666666701</v>
      </c>
      <c r="F149">
        <f t="shared" si="25"/>
        <v>290.57291666666669</v>
      </c>
      <c r="G149">
        <f t="shared" si="26"/>
        <v>4.2226907487067498E-2</v>
      </c>
      <c r="H149">
        <f t="shared" si="27"/>
        <v>3.976905846668852E-7</v>
      </c>
      <c r="I149">
        <f t="shared" si="28"/>
        <v>3.9514999217307971E-11</v>
      </c>
      <c r="J149">
        <f t="shared" si="29"/>
        <v>2.2428987554990633E-4</v>
      </c>
      <c r="K149">
        <f t="shared" si="30"/>
        <v>4.2692833450011604E-6</v>
      </c>
      <c r="L149">
        <f t="shared" si="31"/>
        <v>8.0745245034856377E-12</v>
      </c>
      <c r="M149">
        <f t="shared" si="32"/>
        <v>2.2855916696943199E-4</v>
      </c>
      <c r="N149" s="25">
        <f t="shared" si="33"/>
        <v>5311.5392269395488</v>
      </c>
      <c r="O149" s="28">
        <f t="shared" si="34"/>
        <v>13.278848067348871</v>
      </c>
      <c r="P149" s="1">
        <f t="shared" si="35"/>
        <v>2.693721405354375</v>
      </c>
    </row>
    <row r="150" spans="1:16" x14ac:dyDescent="0.15">
      <c r="A150" t="s">
        <v>234</v>
      </c>
      <c r="B150" s="31">
        <v>4.6900000000000004</v>
      </c>
      <c r="C150">
        <f t="shared" si="24"/>
        <v>2.0417379446695267E-5</v>
      </c>
      <c r="D150">
        <f>DIC!O149</f>
        <v>2.6242625589470702E-4</v>
      </c>
      <c r="E150" s="31">
        <v>2</v>
      </c>
      <c r="F150">
        <f t="shared" si="25"/>
        <v>275.14999999999998</v>
      </c>
      <c r="G150">
        <f t="shared" si="26"/>
        <v>7.1743772542911699E-2</v>
      </c>
      <c r="H150">
        <f t="shared" si="27"/>
        <v>2.8081346341222542E-7</v>
      </c>
      <c r="I150">
        <f t="shared" si="28"/>
        <v>2.5339014130362006E-11</v>
      </c>
      <c r="J150">
        <f t="shared" si="29"/>
        <v>2.5886590082680713E-4</v>
      </c>
      <c r="K150">
        <f t="shared" si="30"/>
        <v>3.5603506493223048E-6</v>
      </c>
      <c r="L150">
        <f t="shared" si="31"/>
        <v>4.4185775969806758E-12</v>
      </c>
      <c r="M150">
        <f t="shared" si="32"/>
        <v>2.6242625589470702E-4</v>
      </c>
      <c r="N150" s="25">
        <f t="shared" si="33"/>
        <v>3608.2002890491035</v>
      </c>
      <c r="O150" s="28">
        <f t="shared" si="34"/>
        <v>9.0205007226227583</v>
      </c>
      <c r="P150" s="1">
        <f t="shared" si="35"/>
        <v>3.1089794689299541</v>
      </c>
    </row>
    <row r="151" spans="1:16" x14ac:dyDescent="0.15">
      <c r="A151" t="s">
        <v>235</v>
      </c>
      <c r="B151" s="31">
        <v>4.51</v>
      </c>
      <c r="C151">
        <f t="shared" si="24"/>
        <v>3.090295432513586E-5</v>
      </c>
      <c r="D151">
        <f>DIC!O150</f>
        <v>2.7869980781674376E-4</v>
      </c>
      <c r="E151" s="31">
        <v>13.6297916666667</v>
      </c>
      <c r="F151">
        <f t="shared" si="25"/>
        <v>286.77979166666665</v>
      </c>
      <c r="G151">
        <f t="shared" si="26"/>
        <v>4.7564928818054034E-2</v>
      </c>
      <c r="H151">
        <f t="shared" si="27"/>
        <v>3.7061879360735013E-7</v>
      </c>
      <c r="I151">
        <f t="shared" si="28"/>
        <v>3.5882797844888988E-11</v>
      </c>
      <c r="J151">
        <f t="shared" si="29"/>
        <v>2.7539697111579066E-4</v>
      </c>
      <c r="K151">
        <f t="shared" si="30"/>
        <v>3.3028328658866458E-6</v>
      </c>
      <c r="L151">
        <f t="shared" si="31"/>
        <v>3.8350664727762987E-12</v>
      </c>
      <c r="M151">
        <f t="shared" si="32"/>
        <v>2.7869980781674382E-4</v>
      </c>
      <c r="N151" s="25">
        <f t="shared" si="33"/>
        <v>5789.9166036649112</v>
      </c>
      <c r="O151" s="28">
        <f t="shared" si="34"/>
        <v>14.474791509162278</v>
      </c>
      <c r="P151" s="1">
        <f t="shared" si="35"/>
        <v>3.3075176231006456</v>
      </c>
    </row>
    <row r="152" spans="1:16" x14ac:dyDescent="0.15">
      <c r="A152" t="s">
        <v>236</v>
      </c>
      <c r="B152" s="31">
        <v>4.5599999999999996</v>
      </c>
      <c r="C152">
        <f t="shared" si="24"/>
        <v>2.754228703338164E-5</v>
      </c>
      <c r="D152">
        <f>DIC!O151</f>
        <v>2.1918183685591054E-4</v>
      </c>
      <c r="E152" s="31">
        <v>2</v>
      </c>
      <c r="F152">
        <f t="shared" si="25"/>
        <v>275.14999999999998</v>
      </c>
      <c r="G152">
        <f t="shared" si="26"/>
        <v>7.1743772542911699E-2</v>
      </c>
      <c r="H152">
        <f t="shared" si="27"/>
        <v>2.8081346341222542E-7</v>
      </c>
      <c r="I152">
        <f t="shared" si="28"/>
        <v>2.5339014130362006E-11</v>
      </c>
      <c r="J152">
        <f t="shared" si="29"/>
        <v>2.1696967265855002E-4</v>
      </c>
      <c r="K152">
        <f t="shared" si="30"/>
        <v>2.2121621621624473E-6</v>
      </c>
      <c r="L152">
        <f t="shared" si="31"/>
        <v>2.0351980290434185E-12</v>
      </c>
      <c r="M152">
        <f t="shared" si="32"/>
        <v>2.1918183685591048E-4</v>
      </c>
      <c r="N152" s="25">
        <f t="shared" si="33"/>
        <v>3024.2300476849778</v>
      </c>
      <c r="O152" s="28">
        <f t="shared" si="34"/>
        <v>7.5605751192124444</v>
      </c>
      <c r="P152" s="1">
        <f t="shared" si="35"/>
        <v>2.6058057686291858</v>
      </c>
    </row>
    <row r="153" spans="1:16" x14ac:dyDescent="0.15">
      <c r="A153" t="s">
        <v>237</v>
      </c>
      <c r="B153" s="31">
        <v>4.51</v>
      </c>
      <c r="C153">
        <f t="shared" si="24"/>
        <v>3.090295432513586E-5</v>
      </c>
      <c r="D153">
        <f>DIC!O152</f>
        <v>1.5421156241804764E-4</v>
      </c>
      <c r="E153" s="31">
        <v>2</v>
      </c>
      <c r="F153">
        <f t="shared" si="25"/>
        <v>275.14999999999998</v>
      </c>
      <c r="G153">
        <f t="shared" si="26"/>
        <v>7.1743772542911699E-2</v>
      </c>
      <c r="H153">
        <f t="shared" si="27"/>
        <v>2.8081346341222542E-7</v>
      </c>
      <c r="I153">
        <f t="shared" si="28"/>
        <v>2.5339014130362006E-11</v>
      </c>
      <c r="J153">
        <f t="shared" si="29"/>
        <v>1.5282286819666367E-4</v>
      </c>
      <c r="K153">
        <f t="shared" si="30"/>
        <v>1.3886930827189286E-6</v>
      </c>
      <c r="L153">
        <f t="shared" si="31"/>
        <v>1.1386650375083905E-12</v>
      </c>
      <c r="M153">
        <f t="shared" si="32"/>
        <v>1.5421156241804764E-4</v>
      </c>
      <c r="N153" s="25">
        <f t="shared" si="33"/>
        <v>2130.1203265448103</v>
      </c>
      <c r="O153" s="28">
        <f t="shared" si="34"/>
        <v>5.3253008163620255</v>
      </c>
      <c r="P153" s="1">
        <f t="shared" si="35"/>
        <v>1.8354026470419305</v>
      </c>
    </row>
    <row r="154" spans="1:16" x14ac:dyDescent="0.15">
      <c r="A154" t="s">
        <v>238</v>
      </c>
      <c r="B154" s="31">
        <v>4.45</v>
      </c>
      <c r="C154">
        <f t="shared" si="24"/>
        <v>3.5481338923357479E-5</v>
      </c>
      <c r="D154">
        <f>DIC!O153</f>
        <v>2.3064106687440756E-4</v>
      </c>
      <c r="E154" s="31">
        <v>2</v>
      </c>
      <c r="F154">
        <f t="shared" si="25"/>
        <v>275.14999999999998</v>
      </c>
      <c r="G154">
        <f t="shared" si="26"/>
        <v>7.1743772542911699E-2</v>
      </c>
      <c r="H154">
        <f t="shared" si="27"/>
        <v>2.8081346341222542E-7</v>
      </c>
      <c r="I154">
        <f t="shared" si="28"/>
        <v>2.5339014130362006E-11</v>
      </c>
      <c r="J154">
        <f t="shared" si="29"/>
        <v>2.2883001361385702E-4</v>
      </c>
      <c r="K154">
        <f t="shared" si="30"/>
        <v>1.811051967186962E-6</v>
      </c>
      <c r="L154">
        <f t="shared" si="31"/>
        <v>1.2933635758925835E-12</v>
      </c>
      <c r="M154">
        <f t="shared" si="32"/>
        <v>2.3064106687440756E-4</v>
      </c>
      <c r="N154" s="25">
        <f t="shared" si="33"/>
        <v>3189.5453152674431</v>
      </c>
      <c r="O154" s="28">
        <f t="shared" si="34"/>
        <v>7.9738632881686078</v>
      </c>
      <c r="P154" s="1">
        <f t="shared" si="35"/>
        <v>2.7482484635024229</v>
      </c>
    </row>
    <row r="155" spans="1:16" x14ac:dyDescent="0.15">
      <c r="A155" t="s">
        <v>239</v>
      </c>
      <c r="B155" s="31">
        <v>4.53</v>
      </c>
      <c r="C155">
        <f t="shared" si="24"/>
        <v>2.9512092266663827E-5</v>
      </c>
      <c r="D155">
        <f>DIC!O154</f>
        <v>1.9029966352537549E-4</v>
      </c>
      <c r="E155" s="31">
        <v>13.2303125</v>
      </c>
      <c r="F155">
        <f t="shared" si="25"/>
        <v>286.3803125</v>
      </c>
      <c r="G155">
        <f t="shared" si="26"/>
        <v>4.8184739274933913E-2</v>
      </c>
      <c r="H155">
        <f t="shared" si="27"/>
        <v>3.6767484204818881E-7</v>
      </c>
      <c r="I155">
        <f t="shared" si="28"/>
        <v>3.5503600218806492E-11</v>
      </c>
      <c r="J155">
        <f t="shared" si="29"/>
        <v>1.879579959477308E-4</v>
      </c>
      <c r="K155">
        <f t="shared" si="30"/>
        <v>2.3416647605780962E-6</v>
      </c>
      <c r="L155">
        <f t="shared" si="31"/>
        <v>2.8170666028969475E-12</v>
      </c>
      <c r="M155">
        <f t="shared" si="32"/>
        <v>1.9029966352537549E-4</v>
      </c>
      <c r="N155" s="25">
        <f t="shared" si="33"/>
        <v>3900.7785198395386</v>
      </c>
      <c r="O155" s="28">
        <f t="shared" si="34"/>
        <v>9.7519462995988473</v>
      </c>
      <c r="P155" s="1">
        <f t="shared" si="35"/>
        <v>2.2573755313322468</v>
      </c>
    </row>
    <row r="156" spans="1:16" x14ac:dyDescent="0.15">
      <c r="A156" t="s">
        <v>240</v>
      </c>
      <c r="B156" s="31">
        <v>4.74</v>
      </c>
      <c r="C156">
        <f t="shared" si="24"/>
        <v>1.8197008586099817E-5</v>
      </c>
      <c r="D156">
        <f>DIC!O155</f>
        <v>2.9233756503738731E-4</v>
      </c>
      <c r="E156" s="31">
        <v>2</v>
      </c>
      <c r="F156">
        <f t="shared" si="25"/>
        <v>275.14999999999998</v>
      </c>
      <c r="G156">
        <f t="shared" si="26"/>
        <v>7.1743772542911699E-2</v>
      </c>
      <c r="H156">
        <f t="shared" si="27"/>
        <v>2.8081346341222542E-7</v>
      </c>
      <c r="I156">
        <f t="shared" si="28"/>
        <v>2.5339014130362006E-11</v>
      </c>
      <c r="J156">
        <f t="shared" si="29"/>
        <v>2.8789481001579702E-4</v>
      </c>
      <c r="K156">
        <f t="shared" si="30"/>
        <v>4.4427488351407176E-6</v>
      </c>
      <c r="L156">
        <f t="shared" si="31"/>
        <v>6.1864495462882159E-12</v>
      </c>
      <c r="M156">
        <f t="shared" si="32"/>
        <v>2.9233756503738731E-4</v>
      </c>
      <c r="N156" s="25">
        <f t="shared" si="33"/>
        <v>4012.8195076945549</v>
      </c>
      <c r="O156" s="28">
        <f t="shared" si="34"/>
        <v>10.032048769236388</v>
      </c>
      <c r="P156" s="1">
        <f t="shared" si="35"/>
        <v>3.4576166682897225</v>
      </c>
    </row>
    <row r="157" spans="1:16" x14ac:dyDescent="0.15">
      <c r="A157" t="s">
        <v>241</v>
      </c>
      <c r="B157" s="31">
        <v>4.62</v>
      </c>
      <c r="C157">
        <f t="shared" si="24"/>
        <v>2.3988329190194856E-5</v>
      </c>
      <c r="D157">
        <f>DIC!O156</f>
        <v>2.1997315360539906E-4</v>
      </c>
      <c r="E157" s="31">
        <v>2</v>
      </c>
      <c r="F157">
        <f t="shared" si="25"/>
        <v>275.14999999999998</v>
      </c>
      <c r="G157">
        <f t="shared" si="26"/>
        <v>7.1743772542911699E-2</v>
      </c>
      <c r="H157">
        <f t="shared" si="27"/>
        <v>2.8081346341222542E-7</v>
      </c>
      <c r="I157">
        <f t="shared" si="28"/>
        <v>2.5339014130362006E-11</v>
      </c>
      <c r="J157">
        <f t="shared" si="29"/>
        <v>2.1742788496950885E-4</v>
      </c>
      <c r="K157">
        <f t="shared" si="30"/>
        <v>2.5452659473107207E-6</v>
      </c>
      <c r="L157">
        <f t="shared" si="31"/>
        <v>2.688579487678429E-12</v>
      </c>
      <c r="M157">
        <f t="shared" si="32"/>
        <v>2.1997315360539906E-4</v>
      </c>
      <c r="N157" s="25">
        <f t="shared" si="33"/>
        <v>3030.6168363178826</v>
      </c>
      <c r="O157" s="28">
        <f t="shared" si="34"/>
        <v>7.5765420907947068</v>
      </c>
      <c r="P157" s="1">
        <f t="shared" si="35"/>
        <v>2.6113088984838013</v>
      </c>
    </row>
    <row r="158" spans="1:16" x14ac:dyDescent="0.15">
      <c r="A158" t="s">
        <v>242</v>
      </c>
      <c r="B158" s="31">
        <v>4.6399999999999997</v>
      </c>
      <c r="C158">
        <f t="shared" si="24"/>
        <v>2.2908676527677729E-5</v>
      </c>
      <c r="D158">
        <f>DIC!O157</f>
        <v>1.6647709969721598E-4</v>
      </c>
      <c r="E158" s="31">
        <v>7.6369479166666698</v>
      </c>
      <c r="F158">
        <f t="shared" si="25"/>
        <v>280.78694791666663</v>
      </c>
      <c r="G158">
        <f t="shared" si="26"/>
        <v>5.8256801645800299E-2</v>
      </c>
      <c r="H158">
        <f t="shared" si="27"/>
        <v>3.2510218894534405E-7</v>
      </c>
      <c r="I158">
        <f t="shared" si="28"/>
        <v>3.0300606439398298E-11</v>
      </c>
      <c r="J158">
        <f t="shared" si="29"/>
        <v>1.6414764047472419E-4</v>
      </c>
      <c r="K158">
        <f t="shared" si="30"/>
        <v>2.3294561413913253E-6</v>
      </c>
      <c r="L158">
        <f t="shared" si="31"/>
        <v>3.0811004587218313E-12</v>
      </c>
      <c r="M158">
        <f t="shared" si="32"/>
        <v>1.6647709969721595E-4</v>
      </c>
      <c r="N158" s="25">
        <f t="shared" si="33"/>
        <v>2817.6562364809724</v>
      </c>
      <c r="O158" s="28">
        <f t="shared" si="34"/>
        <v>7.0441405912024315</v>
      </c>
      <c r="P158" s="1">
        <f t="shared" si="35"/>
        <v>1.9714131621014375</v>
      </c>
    </row>
    <row r="159" spans="1:16" x14ac:dyDescent="0.15">
      <c r="A159" t="s">
        <v>243</v>
      </c>
      <c r="B159" s="31">
        <v>4.66</v>
      </c>
      <c r="C159">
        <f t="shared" si="24"/>
        <v>2.1877616239495489E-5</v>
      </c>
      <c r="D159">
        <f>DIC!O158</f>
        <v>2.7726383961948763E-4</v>
      </c>
      <c r="E159" s="31">
        <v>2</v>
      </c>
      <c r="F159">
        <f t="shared" si="25"/>
        <v>275.14999999999998</v>
      </c>
      <c r="G159">
        <f t="shared" si="26"/>
        <v>7.1743772542911699E-2</v>
      </c>
      <c r="H159">
        <f t="shared" si="27"/>
        <v>2.8081346341222542E-7</v>
      </c>
      <c r="I159">
        <f t="shared" si="28"/>
        <v>2.5339014130362006E-11</v>
      </c>
      <c r="J159">
        <f t="shared" si="29"/>
        <v>2.7375007491857412E-4</v>
      </c>
      <c r="K159">
        <f t="shared" si="30"/>
        <v>3.5137606312182805E-6</v>
      </c>
      <c r="L159">
        <f t="shared" si="31"/>
        <v>4.0696952222982653E-12</v>
      </c>
      <c r="M159">
        <f t="shared" si="32"/>
        <v>2.7726383961948763E-4</v>
      </c>
      <c r="N159" s="25">
        <f t="shared" si="33"/>
        <v>3815.6632306286588</v>
      </c>
      <c r="O159" s="28">
        <f t="shared" si="34"/>
        <v>9.5391580765716473</v>
      </c>
      <c r="P159" s="1">
        <f t="shared" si="35"/>
        <v>3.287738399772075</v>
      </c>
    </row>
    <row r="160" spans="1:16" x14ac:dyDescent="0.15">
      <c r="A160" t="s">
        <v>244</v>
      </c>
      <c r="B160" s="31">
        <v>4.5199999999999996</v>
      </c>
      <c r="C160">
        <f t="shared" si="24"/>
        <v>3.0199517204020178E-5</v>
      </c>
      <c r="D160">
        <f>DIC!O159</f>
        <v>1.8699660391117206E-4</v>
      </c>
      <c r="E160" s="31">
        <v>2</v>
      </c>
      <c r="F160">
        <f t="shared" si="25"/>
        <v>275.14999999999998</v>
      </c>
      <c r="G160">
        <f t="shared" si="26"/>
        <v>7.1743772542911699E-2</v>
      </c>
      <c r="H160">
        <f t="shared" si="27"/>
        <v>2.8081346341222542E-7</v>
      </c>
      <c r="I160">
        <f t="shared" si="28"/>
        <v>2.5339014130362006E-11</v>
      </c>
      <c r="J160">
        <f t="shared" si="29"/>
        <v>1.8527381395140008E-4</v>
      </c>
      <c r="K160">
        <f t="shared" si="30"/>
        <v>1.7227885142600568E-6</v>
      </c>
      <c r="L160">
        <f t="shared" si="31"/>
        <v>1.4455119335699093E-12</v>
      </c>
      <c r="M160">
        <f t="shared" si="32"/>
        <v>1.8699660391117206E-4</v>
      </c>
      <c r="N160" s="25">
        <f t="shared" si="33"/>
        <v>2582.4375745028365</v>
      </c>
      <c r="O160" s="28">
        <f t="shared" si="34"/>
        <v>6.4560939362570915</v>
      </c>
      <c r="P160" s="1">
        <f t="shared" si="35"/>
        <v>2.2251385055563149</v>
      </c>
    </row>
    <row r="161" spans="1:16" x14ac:dyDescent="0.15">
      <c r="A161" t="s">
        <v>245</v>
      </c>
      <c r="B161" s="31">
        <v>4.8</v>
      </c>
      <c r="C161">
        <f t="shared" si="24"/>
        <v>1.5848931924611131E-5</v>
      </c>
      <c r="D161">
        <f>DIC!O160</f>
        <v>1.4809205597288703E-4</v>
      </c>
      <c r="E161" s="31">
        <v>8.5362291666666703</v>
      </c>
      <c r="F161">
        <f t="shared" si="25"/>
        <v>281.68622916666664</v>
      </c>
      <c r="G161">
        <f t="shared" si="26"/>
        <v>5.6443693193751719E-2</v>
      </c>
      <c r="H161">
        <f t="shared" si="27"/>
        <v>3.3208323147108596E-7</v>
      </c>
      <c r="I161">
        <f t="shared" si="28"/>
        <v>3.1121249635600544E-11</v>
      </c>
      <c r="J161">
        <f t="shared" si="29"/>
        <v>1.4505275450663377E-4</v>
      </c>
      <c r="K161">
        <f t="shared" si="30"/>
        <v>3.0392954982376176E-6</v>
      </c>
      <c r="L161">
        <f t="shared" si="31"/>
        <v>5.968015659789049E-12</v>
      </c>
      <c r="M161">
        <f t="shared" si="32"/>
        <v>1.4809205597288706E-4</v>
      </c>
      <c r="N161" s="25">
        <f t="shared" si="33"/>
        <v>2569.8664686720217</v>
      </c>
      <c r="O161" s="28">
        <f t="shared" si="34"/>
        <v>6.4246661716800544</v>
      </c>
      <c r="P161" s="1">
        <f t="shared" si="35"/>
        <v>1.7420835816246716</v>
      </c>
    </row>
    <row r="162" spans="1:16" x14ac:dyDescent="0.15">
      <c r="A162" t="s">
        <v>246</v>
      </c>
      <c r="B162" s="31">
        <v>4.6100000000000003</v>
      </c>
      <c r="C162">
        <f t="shared" si="24"/>
        <v>2.4547089156850252E-5</v>
      </c>
      <c r="D162">
        <f>DIC!O161</f>
        <v>2.2533899320134176E-4</v>
      </c>
      <c r="E162" s="31">
        <v>2</v>
      </c>
      <c r="F162">
        <f t="shared" si="25"/>
        <v>275.14999999999998</v>
      </c>
      <c r="G162">
        <f t="shared" si="26"/>
        <v>7.1743772542911699E-2</v>
      </c>
      <c r="H162">
        <f t="shared" si="27"/>
        <v>2.8081346341222542E-7</v>
      </c>
      <c r="I162">
        <f t="shared" si="28"/>
        <v>2.5339014130362006E-11</v>
      </c>
      <c r="J162">
        <f t="shared" si="29"/>
        <v>2.2279031687247905E-4</v>
      </c>
      <c r="K162">
        <f t="shared" si="30"/>
        <v>2.548673697965078E-6</v>
      </c>
      <c r="L162">
        <f t="shared" si="31"/>
        <v>2.6308976365288014E-12</v>
      </c>
      <c r="M162">
        <f t="shared" si="32"/>
        <v>2.2533899320134176E-4</v>
      </c>
      <c r="N162" s="25">
        <f t="shared" si="33"/>
        <v>3105.3610505249458</v>
      </c>
      <c r="O162" s="28">
        <f t="shared" si="34"/>
        <v>7.7634026263123648</v>
      </c>
      <c r="P162" s="1">
        <f t="shared" si="35"/>
        <v>2.6757117056384732</v>
      </c>
    </row>
    <row r="163" spans="1:16" x14ac:dyDescent="0.15">
      <c r="A163" t="s">
        <v>247</v>
      </c>
      <c r="B163" s="31">
        <v>4.7300000000000004</v>
      </c>
      <c r="C163">
        <f t="shared" si="24"/>
        <v>1.8620871366628623E-5</v>
      </c>
      <c r="D163">
        <f>DIC!O162</f>
        <v>1.5910716757417615E-4</v>
      </c>
      <c r="E163" s="31">
        <v>7.1957500000000003</v>
      </c>
      <c r="F163">
        <f t="shared" si="25"/>
        <v>280.34574999999995</v>
      </c>
      <c r="G163">
        <f t="shared" si="26"/>
        <v>5.9176857184176916E-2</v>
      </c>
      <c r="H163">
        <f t="shared" si="27"/>
        <v>3.2166379593311636E-7</v>
      </c>
      <c r="I163">
        <f t="shared" si="28"/>
        <v>2.9900607503753674E-11</v>
      </c>
      <c r="J163">
        <f t="shared" si="29"/>
        <v>1.5640535940391584E-4</v>
      </c>
      <c r="K163">
        <f t="shared" si="30"/>
        <v>2.701803831817979E-6</v>
      </c>
      <c r="L163">
        <f t="shared" si="31"/>
        <v>4.3384422961058037E-12</v>
      </c>
      <c r="M163">
        <f t="shared" si="32"/>
        <v>1.591071675741761E-4</v>
      </c>
      <c r="N163" s="25">
        <f t="shared" si="33"/>
        <v>2643.0156457470084</v>
      </c>
      <c r="O163" s="28">
        <f t="shared" si="34"/>
        <v>6.6075391143675208</v>
      </c>
      <c r="P163" s="1">
        <f t="shared" si="35"/>
        <v>1.8784283664410293</v>
      </c>
    </row>
    <row r="164" spans="1:16" x14ac:dyDescent="0.15">
      <c r="A164" t="s">
        <v>248</v>
      </c>
      <c r="B164" s="31">
        <v>4.58</v>
      </c>
      <c r="C164">
        <f t="shared" si="24"/>
        <v>2.6302679918953804E-5</v>
      </c>
      <c r="D164">
        <f>DIC!O163</f>
        <v>1.6716020616759105E-4</v>
      </c>
      <c r="E164" s="31">
        <v>2</v>
      </c>
      <c r="F164">
        <f t="shared" si="25"/>
        <v>275.14999999999998</v>
      </c>
      <c r="G164">
        <f t="shared" si="26"/>
        <v>7.1743772542911699E-2</v>
      </c>
      <c r="H164">
        <f t="shared" si="27"/>
        <v>2.8081346341222542E-7</v>
      </c>
      <c r="I164">
        <f t="shared" si="28"/>
        <v>2.5339014130362006E-11</v>
      </c>
      <c r="J164">
        <f t="shared" si="29"/>
        <v>1.6539441562581412E-4</v>
      </c>
      <c r="K164">
        <f t="shared" si="30"/>
        <v>1.7657888406822584E-6</v>
      </c>
      <c r="L164">
        <f t="shared" si="31"/>
        <v>1.7010946611961421E-12</v>
      </c>
      <c r="M164">
        <f t="shared" si="32"/>
        <v>1.6716020616759105E-4</v>
      </c>
      <c r="N164" s="25">
        <f t="shared" si="33"/>
        <v>2305.3487398768675</v>
      </c>
      <c r="O164" s="28">
        <f t="shared" si="34"/>
        <v>5.7633718496921684</v>
      </c>
      <c r="P164" s="1">
        <f t="shared" si="35"/>
        <v>1.9863869316660274</v>
      </c>
    </row>
    <row r="165" spans="1:16" x14ac:dyDescent="0.15">
      <c r="A165" t="s">
        <v>249</v>
      </c>
      <c r="B165" s="31">
        <v>4.7300000000000004</v>
      </c>
      <c r="C165">
        <f t="shared" si="24"/>
        <v>1.8620871366628623E-5</v>
      </c>
      <c r="D165">
        <f>DIC!O164</f>
        <v>2.0666447480513874E-4</v>
      </c>
      <c r="E165" s="31">
        <v>12.160520833333299</v>
      </c>
      <c r="F165">
        <f t="shared" si="25"/>
        <v>285.31052083333327</v>
      </c>
      <c r="G165">
        <f t="shared" si="26"/>
        <v>4.9904252461404598E-2</v>
      </c>
      <c r="H165">
        <f t="shared" si="27"/>
        <v>3.5971647481107446E-7</v>
      </c>
      <c r="I165">
        <f t="shared" si="28"/>
        <v>3.4492273816407686E-11</v>
      </c>
      <c r="J165">
        <f t="shared" si="29"/>
        <v>2.0274780204129634E-4</v>
      </c>
      <c r="K165">
        <f t="shared" si="30"/>
        <v>3.916665508827541E-6</v>
      </c>
      <c r="L165">
        <f t="shared" si="31"/>
        <v>7.2550148979531163E-12</v>
      </c>
      <c r="M165">
        <f t="shared" si="32"/>
        <v>2.0666447480513877E-4</v>
      </c>
      <c r="N165" s="25">
        <f t="shared" si="33"/>
        <v>4062.7359802273218</v>
      </c>
      <c r="O165" s="28">
        <f t="shared" si="34"/>
        <v>10.156839950568305</v>
      </c>
      <c r="P165" s="1">
        <f t="shared" si="35"/>
        <v>2.4350011025159688</v>
      </c>
    </row>
    <row r="166" spans="1:16" x14ac:dyDescent="0.15">
      <c r="A166" t="s">
        <v>250</v>
      </c>
      <c r="B166" s="31">
        <v>4.8499999999999996</v>
      </c>
      <c r="C166">
        <f t="shared" si="24"/>
        <v>1.4125375446227545E-5</v>
      </c>
      <c r="D166">
        <f>DIC!O165</f>
        <v>1.6662541834965922E-4</v>
      </c>
      <c r="E166" s="31">
        <v>5.6082812500000001</v>
      </c>
      <c r="F166">
        <f t="shared" si="25"/>
        <v>278.75828124999998</v>
      </c>
      <c r="G166">
        <f t="shared" si="26"/>
        <v>6.2663663310039239E-2</v>
      </c>
      <c r="H166">
        <f t="shared" si="27"/>
        <v>3.0923423494787553E-7</v>
      </c>
      <c r="I166">
        <f t="shared" si="28"/>
        <v>2.8476615729370921E-11</v>
      </c>
      <c r="J166">
        <f t="shared" si="29"/>
        <v>1.6305577659588632E-4</v>
      </c>
      <c r="K166">
        <f t="shared" si="30"/>
        <v>3.5696345574252965E-6</v>
      </c>
      <c r="L166">
        <f t="shared" si="31"/>
        <v>7.1963475925329194E-12</v>
      </c>
      <c r="M166">
        <f t="shared" si="32"/>
        <v>1.6662541834965922E-4</v>
      </c>
      <c r="N166" s="25">
        <f t="shared" si="33"/>
        <v>2602.078588816933</v>
      </c>
      <c r="O166" s="28">
        <f t="shared" si="34"/>
        <v>6.5051964720423321</v>
      </c>
      <c r="P166" s="1">
        <f t="shared" si="35"/>
        <v>1.9582998769165947</v>
      </c>
    </row>
    <row r="167" spans="1:16" x14ac:dyDescent="0.15">
      <c r="A167" t="s">
        <v>251</v>
      </c>
      <c r="B167" s="31">
        <v>4.5599999999999996</v>
      </c>
      <c r="C167">
        <f t="shared" si="24"/>
        <v>2.754228703338164E-5</v>
      </c>
      <c r="D167">
        <f>DIC!O166</f>
        <v>2.3651335369492683E-4</v>
      </c>
      <c r="E167" s="31">
        <v>12.3645833333333</v>
      </c>
      <c r="F167">
        <f t="shared" si="25"/>
        <v>285.51458333333329</v>
      </c>
      <c r="G167">
        <f t="shared" si="26"/>
        <v>4.9569383596102141E-2</v>
      </c>
      <c r="H167">
        <f t="shared" si="27"/>
        <v>3.6124256602563901E-7</v>
      </c>
      <c r="I167">
        <f t="shared" si="28"/>
        <v>3.4684690406298176E-11</v>
      </c>
      <c r="J167">
        <f t="shared" si="29"/>
        <v>2.3345141858432215E-4</v>
      </c>
      <c r="K167">
        <f t="shared" si="30"/>
        <v>3.0619312546381423E-6</v>
      </c>
      <c r="L167">
        <f t="shared" si="31"/>
        <v>3.8559665536770285E-12</v>
      </c>
      <c r="M167">
        <f t="shared" si="32"/>
        <v>2.3651335369492683E-4</v>
      </c>
      <c r="N167" s="25">
        <f t="shared" si="33"/>
        <v>4709.5888963743228</v>
      </c>
      <c r="O167" s="28">
        <f t="shared" si="34"/>
        <v>11.773972240935807</v>
      </c>
      <c r="P167" s="1">
        <f t="shared" si="35"/>
        <v>2.8037515371977086</v>
      </c>
    </row>
    <row r="168" spans="1:16" x14ac:dyDescent="0.15">
      <c r="A168" t="s">
        <v>252</v>
      </c>
      <c r="B168" s="31">
        <v>4.88</v>
      </c>
      <c r="C168">
        <f t="shared" si="24"/>
        <v>1.3182567385564052E-5</v>
      </c>
      <c r="D168">
        <f>DIC!O167</f>
        <v>1.7178286803534799E-4</v>
      </c>
      <c r="E168" s="31">
        <v>2</v>
      </c>
      <c r="F168">
        <f t="shared" si="25"/>
        <v>275.14999999999998</v>
      </c>
      <c r="G168">
        <f t="shared" si="26"/>
        <v>7.1743772542911699E-2</v>
      </c>
      <c r="H168">
        <f t="shared" si="27"/>
        <v>2.8081346341222542E-7</v>
      </c>
      <c r="I168">
        <f t="shared" si="28"/>
        <v>2.5339014130362006E-11</v>
      </c>
      <c r="J168">
        <f t="shared" si="29"/>
        <v>1.6819988739638151E-4</v>
      </c>
      <c r="K168">
        <f t="shared" si="30"/>
        <v>3.5829737519148079E-6</v>
      </c>
      <c r="L168">
        <f t="shared" si="31"/>
        <v>6.8870516548928557E-12</v>
      </c>
      <c r="M168">
        <f t="shared" si="32"/>
        <v>1.7178286803534799E-4</v>
      </c>
      <c r="N168" s="25">
        <f t="shared" si="33"/>
        <v>2344.4527857212561</v>
      </c>
      <c r="O168" s="28">
        <f t="shared" si="34"/>
        <v>5.8611319643031399</v>
      </c>
      <c r="P168" s="1">
        <f t="shared" si="35"/>
        <v>2.0200806476305417</v>
      </c>
    </row>
    <row r="169" spans="1:16" x14ac:dyDescent="0.15">
      <c r="A169" t="s">
        <v>253</v>
      </c>
      <c r="B169" s="31">
        <v>4.75</v>
      </c>
      <c r="C169">
        <f t="shared" si="24"/>
        <v>1.7782794100389215E-5</v>
      </c>
      <c r="D169">
        <f>DIC!O168</f>
        <v>2.2332642541398167E-4</v>
      </c>
      <c r="E169" s="31">
        <v>2</v>
      </c>
      <c r="F169">
        <f t="shared" si="25"/>
        <v>275.14999999999998</v>
      </c>
      <c r="G169">
        <f t="shared" si="26"/>
        <v>7.1743772542911699E-2</v>
      </c>
      <c r="H169">
        <f t="shared" si="27"/>
        <v>2.8081346341222542E-7</v>
      </c>
      <c r="I169">
        <f t="shared" si="28"/>
        <v>2.5339014130362006E-11</v>
      </c>
      <c r="J169">
        <f t="shared" si="29"/>
        <v>2.1985462971967082E-4</v>
      </c>
      <c r="K169">
        <f t="shared" si="30"/>
        <v>3.4717907472955488E-6</v>
      </c>
      <c r="L169">
        <f t="shared" si="31"/>
        <v>4.9470153175454319E-12</v>
      </c>
      <c r="M169">
        <f t="shared" si="32"/>
        <v>2.2332642541398169E-4</v>
      </c>
      <c r="N169" s="25">
        <f t="shared" si="33"/>
        <v>3064.441998616262</v>
      </c>
      <c r="O169" s="28">
        <f t="shared" si="34"/>
        <v>7.6611049965406552</v>
      </c>
      <c r="P169" s="1">
        <f t="shared" si="35"/>
        <v>2.6404541029332464</v>
      </c>
    </row>
    <row r="170" spans="1:16" x14ac:dyDescent="0.15">
      <c r="A170" t="s">
        <v>254</v>
      </c>
      <c r="B170" s="31">
        <v>4.88</v>
      </c>
      <c r="C170">
        <f t="shared" si="24"/>
        <v>1.3182567385564052E-5</v>
      </c>
      <c r="D170">
        <f>DIC!O169</f>
        <v>1.2754209187864517E-4</v>
      </c>
      <c r="E170" s="31">
        <v>2</v>
      </c>
      <c r="F170">
        <f t="shared" si="25"/>
        <v>275.14999999999998</v>
      </c>
      <c r="G170">
        <f t="shared" si="26"/>
        <v>7.1743772542911699E-2</v>
      </c>
      <c r="H170">
        <f t="shared" si="27"/>
        <v>2.8081346341222542E-7</v>
      </c>
      <c r="I170">
        <f t="shared" si="28"/>
        <v>2.5339014130362006E-11</v>
      </c>
      <c r="J170">
        <f t="shared" si="29"/>
        <v>1.2488186824237177E-4</v>
      </c>
      <c r="K170">
        <f t="shared" si="30"/>
        <v>2.6602185229056667E-6</v>
      </c>
      <c r="L170">
        <f t="shared" si="31"/>
        <v>5.1133677356031375E-12</v>
      </c>
      <c r="M170">
        <f t="shared" si="32"/>
        <v>1.2754209187864517E-4</v>
      </c>
      <c r="N170" s="25">
        <f t="shared" si="33"/>
        <v>1740.6649220693946</v>
      </c>
      <c r="O170" s="28">
        <f t="shared" si="34"/>
        <v>4.3516623051734866</v>
      </c>
      <c r="P170" s="1">
        <f t="shared" si="35"/>
        <v>1.4998312375908849</v>
      </c>
    </row>
    <row r="171" spans="1:16" x14ac:dyDescent="0.15">
      <c r="A171" t="s">
        <v>255</v>
      </c>
      <c r="B171" s="31">
        <v>4.5999999999999996</v>
      </c>
      <c r="C171">
        <f t="shared" si="24"/>
        <v>2.5118864315095791E-5</v>
      </c>
      <c r="D171">
        <f>DIC!O170</f>
        <v>2.6044506641773117E-4</v>
      </c>
      <c r="E171" s="31">
        <v>8.7147083333333306</v>
      </c>
      <c r="F171">
        <f t="shared" si="25"/>
        <v>281.86470833333328</v>
      </c>
      <c r="G171">
        <f t="shared" si="26"/>
        <v>5.6093477560229019E-2</v>
      </c>
      <c r="H171">
        <f t="shared" si="27"/>
        <v>3.3346391953135367E-7</v>
      </c>
      <c r="I171">
        <f t="shared" si="28"/>
        <v>3.1284941973115309E-11</v>
      </c>
      <c r="J171">
        <f t="shared" si="29"/>
        <v>2.5703283871813252E-4</v>
      </c>
      <c r="K171">
        <f t="shared" si="30"/>
        <v>3.4122234497563864E-6</v>
      </c>
      <c r="L171">
        <f t="shared" si="31"/>
        <v>4.2498423211266429E-12</v>
      </c>
      <c r="M171">
        <f t="shared" si="32"/>
        <v>2.6044506641773122E-4</v>
      </c>
      <c r="N171" s="25">
        <f t="shared" si="33"/>
        <v>4582.2232797413872</v>
      </c>
      <c r="O171" s="28">
        <f t="shared" si="34"/>
        <v>11.455558199353469</v>
      </c>
      <c r="P171" s="1">
        <f t="shared" si="35"/>
        <v>3.0869643930047719</v>
      </c>
    </row>
    <row r="172" spans="1:16" x14ac:dyDescent="0.15">
      <c r="A172" t="s">
        <v>256</v>
      </c>
      <c r="B172" s="31">
        <v>5</v>
      </c>
      <c r="C172">
        <f t="shared" si="24"/>
        <v>1.0000000000000001E-5</v>
      </c>
      <c r="D172">
        <f>DIC!O171</f>
        <v>1.0405533826692146E-4</v>
      </c>
      <c r="E172" s="31">
        <v>2</v>
      </c>
      <c r="F172">
        <f t="shared" si="25"/>
        <v>275.14999999999998</v>
      </c>
      <c r="G172">
        <f t="shared" si="26"/>
        <v>7.1743772542911699E-2</v>
      </c>
      <c r="H172">
        <f t="shared" si="27"/>
        <v>2.8081346341222542E-7</v>
      </c>
      <c r="I172">
        <f t="shared" si="28"/>
        <v>2.5339014130362006E-11</v>
      </c>
      <c r="J172">
        <f t="shared" si="29"/>
        <v>1.0121313010432564E-4</v>
      </c>
      <c r="K172">
        <f t="shared" si="30"/>
        <v>2.8422009607387857E-6</v>
      </c>
      <c r="L172">
        <f t="shared" si="31"/>
        <v>7.2018570305488561E-12</v>
      </c>
      <c r="M172">
        <f t="shared" si="32"/>
        <v>1.0405533826692145E-4</v>
      </c>
      <c r="N172" s="25">
        <f t="shared" si="33"/>
        <v>1410.7584047631117</v>
      </c>
      <c r="O172" s="28">
        <f t="shared" si="34"/>
        <v>3.526896011907779</v>
      </c>
      <c r="P172" s="1">
        <f t="shared" si="35"/>
        <v>1.2155696925529509</v>
      </c>
    </row>
    <row r="173" spans="1:16" x14ac:dyDescent="0.15">
      <c r="A173" t="s">
        <v>257</v>
      </c>
      <c r="B173" s="31">
        <v>4.88</v>
      </c>
      <c r="C173">
        <f t="shared" si="24"/>
        <v>1.3182567385564052E-5</v>
      </c>
      <c r="D173">
        <f>DIC!O172</f>
        <v>1.8962985771658959E-4</v>
      </c>
      <c r="E173" s="31">
        <v>2</v>
      </c>
      <c r="F173">
        <f t="shared" si="25"/>
        <v>275.14999999999998</v>
      </c>
      <c r="G173">
        <f t="shared" si="26"/>
        <v>7.1743772542911699E-2</v>
      </c>
      <c r="H173">
        <f t="shared" si="27"/>
        <v>2.8081346341222542E-7</v>
      </c>
      <c r="I173">
        <f t="shared" si="28"/>
        <v>2.5339014130362006E-11</v>
      </c>
      <c r="J173">
        <f t="shared" si="29"/>
        <v>1.8567463146766761E-4</v>
      </c>
      <c r="K173">
        <f t="shared" si="30"/>
        <v>3.9552186463557656E-6</v>
      </c>
      <c r="L173">
        <f t="shared" si="31"/>
        <v>7.6025661949909915E-12</v>
      </c>
      <c r="M173">
        <f t="shared" si="32"/>
        <v>1.8962985771658956E-4</v>
      </c>
      <c r="N173" s="25">
        <f t="shared" si="33"/>
        <v>2588.0243662488069</v>
      </c>
      <c r="O173" s="28">
        <f t="shared" si="34"/>
        <v>6.4700609156220175</v>
      </c>
      <c r="P173" s="1">
        <f t="shared" si="35"/>
        <v>2.2299523239266881</v>
      </c>
    </row>
    <row r="174" spans="1:16" x14ac:dyDescent="0.15">
      <c r="A174" t="s">
        <v>258</v>
      </c>
      <c r="B174" s="31">
        <v>4.72</v>
      </c>
      <c r="C174">
        <f t="shared" si="24"/>
        <v>1.9054607179632454E-5</v>
      </c>
      <c r="D174">
        <f>DIC!O173</f>
        <v>2.0005709963390455E-4</v>
      </c>
      <c r="E174" s="31">
        <v>2</v>
      </c>
      <c r="F174">
        <f t="shared" si="25"/>
        <v>275.14999999999998</v>
      </c>
      <c r="G174">
        <f t="shared" si="26"/>
        <v>7.1743772542911699E-2</v>
      </c>
      <c r="H174">
        <f t="shared" si="27"/>
        <v>2.8081346341222542E-7</v>
      </c>
      <c r="I174">
        <f t="shared" si="28"/>
        <v>2.5339014130362006E-11</v>
      </c>
      <c r="J174">
        <f t="shared" si="29"/>
        <v>1.97151613289046E-4</v>
      </c>
      <c r="K174">
        <f t="shared" si="30"/>
        <v>2.9054824811178619E-6</v>
      </c>
      <c r="L174">
        <f t="shared" si="31"/>
        <v>3.8637407190036266E-12</v>
      </c>
      <c r="M174">
        <f t="shared" si="32"/>
        <v>2.0005709963390457E-4</v>
      </c>
      <c r="N174" s="25">
        <f t="shared" si="33"/>
        <v>2747.996185607954</v>
      </c>
      <c r="O174" s="28">
        <f t="shared" si="34"/>
        <v>6.8699904640198852</v>
      </c>
      <c r="P174" s="1">
        <f t="shared" si="35"/>
        <v>2.3677908756014423</v>
      </c>
    </row>
    <row r="175" spans="1:16" x14ac:dyDescent="0.15">
      <c r="A175" t="s">
        <v>259</v>
      </c>
      <c r="B175" s="31">
        <v>5.88</v>
      </c>
      <c r="C175">
        <f t="shared" si="24"/>
        <v>1.3182567385564063E-6</v>
      </c>
      <c r="D175">
        <f>DIC!O174</f>
        <v>1.8306066423094772E-4</v>
      </c>
      <c r="E175" s="31">
        <v>2</v>
      </c>
      <c r="F175">
        <f t="shared" si="25"/>
        <v>275.14999999999998</v>
      </c>
      <c r="G175">
        <f t="shared" si="26"/>
        <v>7.1743772542911699E-2</v>
      </c>
      <c r="H175">
        <f t="shared" si="27"/>
        <v>2.8081346341222542E-7</v>
      </c>
      <c r="I175">
        <f t="shared" si="28"/>
        <v>2.5339014130362006E-11</v>
      </c>
      <c r="J175">
        <f t="shared" si="29"/>
        <v>1.5091278626172273E-4</v>
      </c>
      <c r="K175">
        <f t="shared" si="30"/>
        <v>3.2147260047197523E-5</v>
      </c>
      <c r="L175">
        <f t="shared" si="31"/>
        <v>6.1792202744997031E-10</v>
      </c>
      <c r="M175">
        <f t="shared" si="32"/>
        <v>1.8306066423094772E-4</v>
      </c>
      <c r="N175" s="25">
        <f t="shared" si="33"/>
        <v>2103.4966647656856</v>
      </c>
      <c r="O175" s="28">
        <f t="shared" si="34"/>
        <v>5.2587416619142138</v>
      </c>
      <c r="P175" s="1">
        <f t="shared" si="35"/>
        <v>1.8124625630032898</v>
      </c>
    </row>
    <row r="176" spans="1:16" x14ac:dyDescent="0.15">
      <c r="A176" t="s">
        <v>260</v>
      </c>
      <c r="B176" s="31">
        <v>5.22</v>
      </c>
      <c r="C176">
        <f t="shared" si="24"/>
        <v>6.0255958607435782E-6</v>
      </c>
      <c r="D176">
        <f>DIC!O175</f>
        <v>2.1005098580389566E-4</v>
      </c>
      <c r="E176" s="31">
        <v>2</v>
      </c>
      <c r="F176">
        <f t="shared" si="25"/>
        <v>275.14999999999998</v>
      </c>
      <c r="G176">
        <f t="shared" si="26"/>
        <v>7.1743772542911699E-2</v>
      </c>
      <c r="H176">
        <f t="shared" si="27"/>
        <v>2.8081346341222542E-7</v>
      </c>
      <c r="I176">
        <f t="shared" si="28"/>
        <v>2.5339014130362006E-11</v>
      </c>
      <c r="J176">
        <f t="shared" si="29"/>
        <v>2.0069774233589225E-4</v>
      </c>
      <c r="K176">
        <f t="shared" si="30"/>
        <v>9.3532041356324024E-6</v>
      </c>
      <c r="L176">
        <f t="shared" si="31"/>
        <v>3.9332370977781296E-11</v>
      </c>
      <c r="M176">
        <f t="shared" si="32"/>
        <v>2.1005098580389561E-4</v>
      </c>
      <c r="N176" s="25">
        <f t="shared" si="33"/>
        <v>2797.4238769762219</v>
      </c>
      <c r="O176" s="28">
        <f t="shared" si="34"/>
        <v>6.993559692440555</v>
      </c>
      <c r="P176" s="1">
        <f t="shared" si="35"/>
        <v>2.4103798854540659</v>
      </c>
    </row>
    <row r="177" spans="1:16" x14ac:dyDescent="0.15">
      <c r="A177" t="s">
        <v>261</v>
      </c>
      <c r="B177" s="31">
        <v>4.8600000000000003</v>
      </c>
      <c r="C177">
        <f t="shared" si="24"/>
        <v>1.3803842646028827E-5</v>
      </c>
      <c r="D177">
        <f>DIC!O176</f>
        <v>1.6575409375625249E-4</v>
      </c>
      <c r="E177" s="31">
        <v>8.6948124999999994</v>
      </c>
      <c r="F177">
        <f t="shared" si="25"/>
        <v>281.84481249999999</v>
      </c>
      <c r="G177">
        <f t="shared" si="26"/>
        <v>5.6132362956976295E-2</v>
      </c>
      <c r="H177">
        <f t="shared" si="27"/>
        <v>3.3331009292148373E-7</v>
      </c>
      <c r="I177">
        <f t="shared" si="28"/>
        <v>3.1266681395394158E-11</v>
      </c>
      <c r="J177">
        <f t="shared" si="29"/>
        <v>1.6184611910242293E-4</v>
      </c>
      <c r="K177">
        <f t="shared" si="30"/>
        <v>3.9079658020101609E-6</v>
      </c>
      <c r="L177">
        <f t="shared" si="31"/>
        <v>8.851819364276789E-12</v>
      </c>
      <c r="M177">
        <f t="shared" si="32"/>
        <v>1.6575409375625246E-4</v>
      </c>
      <c r="N177" s="25">
        <f t="shared" si="33"/>
        <v>2883.2942455401871</v>
      </c>
      <c r="O177" s="28">
        <f t="shared" si="34"/>
        <v>7.2082356138504675</v>
      </c>
      <c r="P177" s="1">
        <f t="shared" si="35"/>
        <v>1.9437718904200996</v>
      </c>
    </row>
    <row r="178" spans="1:16" x14ac:dyDescent="0.15">
      <c r="A178" t="s">
        <v>262</v>
      </c>
      <c r="B178" s="31">
        <v>5.72</v>
      </c>
      <c r="C178">
        <f t="shared" si="24"/>
        <v>1.9054607179632462E-6</v>
      </c>
      <c r="D178">
        <f>DIC!O177</f>
        <v>1.8288582118965741E-4</v>
      </c>
      <c r="E178" s="31">
        <v>2</v>
      </c>
      <c r="F178">
        <f t="shared" si="25"/>
        <v>275.14999999999998</v>
      </c>
      <c r="G178">
        <f t="shared" si="26"/>
        <v>7.1743772542911699E-2</v>
      </c>
      <c r="H178">
        <f t="shared" si="27"/>
        <v>2.8081346341222542E-7</v>
      </c>
      <c r="I178">
        <f t="shared" si="28"/>
        <v>2.5339014130362006E-11</v>
      </c>
      <c r="J178">
        <f t="shared" si="29"/>
        <v>1.5939499075250029E-4</v>
      </c>
      <c r="K178">
        <f t="shared" si="30"/>
        <v>2.349051805781315E-5</v>
      </c>
      <c r="L178">
        <f t="shared" si="31"/>
        <v>3.1237934394821384E-10</v>
      </c>
      <c r="M178">
        <f t="shared" si="32"/>
        <v>1.8288582118965738E-4</v>
      </c>
      <c r="N178" s="25">
        <f t="shared" si="33"/>
        <v>2221.7258042454105</v>
      </c>
      <c r="O178" s="28">
        <f t="shared" si="34"/>
        <v>5.5543145106135263</v>
      </c>
      <c r="P178" s="1">
        <f t="shared" si="35"/>
        <v>1.9143338389375286</v>
      </c>
    </row>
    <row r="179" spans="1:16" x14ac:dyDescent="0.15">
      <c r="A179" t="s">
        <v>263</v>
      </c>
      <c r="B179" s="31">
        <v>4.91</v>
      </c>
      <c r="C179">
        <f t="shared" si="24"/>
        <v>1.2302687708123802E-5</v>
      </c>
      <c r="D179">
        <f>DIC!O178</f>
        <v>9.509515761347507E-5</v>
      </c>
      <c r="E179" s="31">
        <v>2.79214583333333</v>
      </c>
      <c r="F179">
        <f t="shared" si="25"/>
        <v>275.94214583333331</v>
      </c>
      <c r="G179">
        <f t="shared" si="26"/>
        <v>6.9600009620391229E-2</v>
      </c>
      <c r="H179">
        <f t="shared" si="27"/>
        <v>2.8705734087943457E-7</v>
      </c>
      <c r="I179">
        <f t="shared" si="28"/>
        <v>2.6015117005460658E-11</v>
      </c>
      <c r="J179">
        <f t="shared" si="29"/>
        <v>9.2926899290835644E-5</v>
      </c>
      <c r="K179">
        <f t="shared" si="30"/>
        <v>2.1682537376758597E-6</v>
      </c>
      <c r="L179">
        <f t="shared" si="31"/>
        <v>4.5849635479178712E-12</v>
      </c>
      <c r="M179">
        <f t="shared" si="32"/>
        <v>9.5095157613475057E-5</v>
      </c>
      <c r="N179" s="25">
        <f t="shared" si="33"/>
        <v>1335.156414455583</v>
      </c>
      <c r="O179" s="28">
        <f t="shared" si="34"/>
        <v>3.3378910361389575</v>
      </c>
      <c r="P179" s="1">
        <f t="shared" si="35"/>
        <v>1.116052060482936</v>
      </c>
    </row>
    <row r="180" spans="1:16" x14ac:dyDescent="0.15">
      <c r="A180" t="s">
        <v>264</v>
      </c>
      <c r="B180" s="31">
        <v>5.32</v>
      </c>
      <c r="C180">
        <f t="shared" si="24"/>
        <v>4.7863009232263716E-6</v>
      </c>
      <c r="D180">
        <f>DIC!O179</f>
        <v>1.1189954642579421E-4</v>
      </c>
      <c r="E180" s="31">
        <v>16.5732291666667</v>
      </c>
      <c r="F180">
        <f t="shared" si="25"/>
        <v>289.72322916666667</v>
      </c>
      <c r="G180">
        <f t="shared" si="26"/>
        <v>4.3341871904625108E-2</v>
      </c>
      <c r="H180">
        <f t="shared" si="27"/>
        <v>3.91777405156931E-7</v>
      </c>
      <c r="I180">
        <f t="shared" si="28"/>
        <v>3.8697435663890195E-11</v>
      </c>
      <c r="J180">
        <f t="shared" si="29"/>
        <v>1.0343307705536511E-4</v>
      </c>
      <c r="K180">
        <f t="shared" si="30"/>
        <v>8.46640091923683E-6</v>
      </c>
      <c r="L180">
        <f t="shared" si="31"/>
        <v>6.8451192294867047E-11</v>
      </c>
      <c r="M180">
        <f t="shared" si="32"/>
        <v>1.1189954642579423E-4</v>
      </c>
      <c r="N180" s="25">
        <f t="shared" si="33"/>
        <v>2386.446927880093</v>
      </c>
      <c r="O180" s="28">
        <f t="shared" si="34"/>
        <v>5.9661173197002322</v>
      </c>
      <c r="P180" s="1">
        <f t="shared" si="35"/>
        <v>1.2422312554349351</v>
      </c>
    </row>
    <row r="181" spans="1:16" x14ac:dyDescent="0.15">
      <c r="A181" t="s">
        <v>265</v>
      </c>
      <c r="B181" s="31">
        <v>4.3899999999999997</v>
      </c>
      <c r="C181">
        <f t="shared" si="24"/>
        <v>4.0738027780411247E-5</v>
      </c>
      <c r="D181">
        <f>DIC!O180</f>
        <v>2.0584127869494506E-4</v>
      </c>
      <c r="E181" s="31">
        <v>12.859375</v>
      </c>
      <c r="F181">
        <f t="shared" si="25"/>
        <v>286.00937499999998</v>
      </c>
      <c r="G181">
        <f t="shared" si="26"/>
        <v>4.877097139465774E-2</v>
      </c>
      <c r="H181">
        <f t="shared" si="27"/>
        <v>3.6492736200897112E-7</v>
      </c>
      <c r="I181">
        <f t="shared" si="28"/>
        <v>3.5152225886176931E-11</v>
      </c>
      <c r="J181">
        <f t="shared" si="29"/>
        <v>2.0401374150672184E-4</v>
      </c>
      <c r="K181">
        <f t="shared" si="30"/>
        <v>1.8275356112704917E-6</v>
      </c>
      <c r="L181">
        <f t="shared" si="31"/>
        <v>1.5769527422558069E-12</v>
      </c>
      <c r="M181">
        <f t="shared" si="32"/>
        <v>2.0584127869494506E-4</v>
      </c>
      <c r="N181" s="25">
        <f t="shared" si="33"/>
        <v>4183.0977664117027</v>
      </c>
      <c r="O181" s="28">
        <f t="shared" si="34"/>
        <v>10.457744416029257</v>
      </c>
      <c r="P181" s="1">
        <f t="shared" si="35"/>
        <v>2.450205035495729</v>
      </c>
    </row>
    <row r="182" spans="1:16" x14ac:dyDescent="0.15">
      <c r="A182" t="s">
        <v>266</v>
      </c>
      <c r="B182" s="31">
        <v>5.18</v>
      </c>
      <c r="C182">
        <f t="shared" si="24"/>
        <v>6.6069344800759593E-6</v>
      </c>
      <c r="D182">
        <f>DIC!O181</f>
        <v>2.3016027151299466E-4</v>
      </c>
      <c r="E182" s="31">
        <v>9.7107708333333296</v>
      </c>
      <c r="F182">
        <f t="shared" si="25"/>
        <v>282.86077083333333</v>
      </c>
      <c r="G182">
        <f t="shared" si="26"/>
        <v>5.4195179748392074E-2</v>
      </c>
      <c r="H182">
        <f t="shared" si="27"/>
        <v>3.4113605038010017E-7</v>
      </c>
      <c r="I182">
        <f t="shared" si="28"/>
        <v>3.2203206862933819E-11</v>
      </c>
      <c r="J182">
        <f t="shared" si="29"/>
        <v>2.1885982061181693E-4</v>
      </c>
      <c r="K182">
        <f t="shared" si="30"/>
        <v>1.1300395821324097E-5</v>
      </c>
      <c r="L182">
        <f t="shared" si="31"/>
        <v>5.5079853654451405E-11</v>
      </c>
      <c r="M182">
        <f t="shared" si="32"/>
        <v>2.3016027151299468E-4</v>
      </c>
      <c r="N182" s="25">
        <f t="shared" si="33"/>
        <v>4038.3632202697936</v>
      </c>
      <c r="O182" s="28">
        <f t="shared" si="34"/>
        <v>10.095908050674485</v>
      </c>
      <c r="P182" s="1">
        <f t="shared" si="35"/>
        <v>2.6285064455479215</v>
      </c>
    </row>
    <row r="183" spans="1:16" x14ac:dyDescent="0.15">
      <c r="A183" t="s">
        <v>267</v>
      </c>
      <c r="B183" s="31">
        <v>5.01</v>
      </c>
      <c r="C183">
        <f t="shared" si="24"/>
        <v>9.7723722095581059E-6</v>
      </c>
      <c r="D183">
        <f>DIC!O182</f>
        <v>2.2927312681256403E-4</v>
      </c>
      <c r="E183" s="31">
        <v>14.093958333333299</v>
      </c>
      <c r="F183">
        <f t="shared" si="25"/>
        <v>287.2439583333333</v>
      </c>
      <c r="G183">
        <f t="shared" si="26"/>
        <v>4.6859420497275719E-2</v>
      </c>
      <c r="H183">
        <f t="shared" si="27"/>
        <v>3.7401924803552306E-7</v>
      </c>
      <c r="I183">
        <f t="shared" si="28"/>
        <v>3.632436322673404E-11</v>
      </c>
      <c r="J183">
        <f t="shared" si="29"/>
        <v>2.2082156353116474E-4</v>
      </c>
      <c r="K183">
        <f t="shared" si="30"/>
        <v>8.451531866661208E-6</v>
      </c>
      <c r="L183">
        <f t="shared" si="31"/>
        <v>3.1414738076252753E-11</v>
      </c>
      <c r="M183">
        <f t="shared" si="32"/>
        <v>2.2927312681256403E-4</v>
      </c>
      <c r="N183" s="25">
        <f t="shared" si="33"/>
        <v>4712.4262568292479</v>
      </c>
      <c r="O183" s="28">
        <f t="shared" si="34"/>
        <v>11.78106564207312</v>
      </c>
      <c r="P183" s="1">
        <f t="shared" si="35"/>
        <v>2.6520669780092887</v>
      </c>
    </row>
    <row r="184" spans="1:16" x14ac:dyDescent="0.15">
      <c r="A184" t="s">
        <v>268</v>
      </c>
      <c r="B184" s="31">
        <v>4.67</v>
      </c>
      <c r="C184">
        <f t="shared" si="24"/>
        <v>2.1379620895022286E-5</v>
      </c>
      <c r="D184">
        <f>DIC!O183</f>
        <v>1.7043606704898607E-4</v>
      </c>
      <c r="E184" s="31">
        <v>2</v>
      </c>
      <c r="F184">
        <f t="shared" si="25"/>
        <v>275.14999999999998</v>
      </c>
      <c r="G184">
        <f t="shared" si="26"/>
        <v>7.1743772542911699E-2</v>
      </c>
      <c r="H184">
        <f t="shared" si="27"/>
        <v>2.8081346341222542E-7</v>
      </c>
      <c r="I184">
        <f t="shared" si="28"/>
        <v>2.5339014130362006E-11</v>
      </c>
      <c r="J184">
        <f t="shared" si="29"/>
        <v>1.682264715498703E-4</v>
      </c>
      <c r="K184">
        <f t="shared" si="30"/>
        <v>2.2095928803179109E-6</v>
      </c>
      <c r="L184">
        <f t="shared" si="31"/>
        <v>2.6187978492059443E-12</v>
      </c>
      <c r="M184">
        <f t="shared" si="32"/>
        <v>1.7043606704898604E-4</v>
      </c>
      <c r="N184" s="25">
        <f t="shared" si="33"/>
        <v>2344.8233287321204</v>
      </c>
      <c r="O184" s="28">
        <f t="shared" si="34"/>
        <v>5.8620583218303013</v>
      </c>
      <c r="P184" s="1">
        <f t="shared" si="35"/>
        <v>2.0203999233139425</v>
      </c>
    </row>
    <row r="185" spans="1:16" x14ac:dyDescent="0.15">
      <c r="A185" t="s">
        <v>269</v>
      </c>
      <c r="B185" s="31">
        <v>5.58</v>
      </c>
      <c r="C185">
        <f t="shared" si="24"/>
        <v>2.630267991895377E-6</v>
      </c>
      <c r="D185">
        <f>DIC!O184</f>
        <v>1.4564425339482276E-4</v>
      </c>
      <c r="E185" s="31">
        <v>7.38905208333333</v>
      </c>
      <c r="F185">
        <f t="shared" si="25"/>
        <v>280.53905208333333</v>
      </c>
      <c r="G185">
        <f t="shared" si="26"/>
        <v>5.8771222678269348E-2</v>
      </c>
      <c r="H185">
        <f t="shared" si="27"/>
        <v>3.2317125794704844E-7</v>
      </c>
      <c r="I185">
        <f t="shared" si="28"/>
        <v>3.007564112329134E-11</v>
      </c>
      <c r="J185">
        <f t="shared" si="29"/>
        <v>1.29707404214549E-4</v>
      </c>
      <c r="K185">
        <f t="shared" si="30"/>
        <v>1.5936666953414163E-5</v>
      </c>
      <c r="L185">
        <f t="shared" si="31"/>
        <v>1.8222685957065255E-10</v>
      </c>
      <c r="M185">
        <f t="shared" si="32"/>
        <v>1.4564425339482273E-4</v>
      </c>
      <c r="N185" s="25">
        <f t="shared" si="33"/>
        <v>2206.9883576287802</v>
      </c>
      <c r="O185" s="28">
        <f t="shared" si="34"/>
        <v>5.517470894071951</v>
      </c>
      <c r="P185" s="1">
        <f t="shared" si="35"/>
        <v>1.5577859246167334</v>
      </c>
    </row>
    <row r="186" spans="1:16" x14ac:dyDescent="0.15">
      <c r="A186" t="s">
        <v>270</v>
      </c>
      <c r="B186" s="31">
        <v>5.61</v>
      </c>
      <c r="C186">
        <f t="shared" si="24"/>
        <v>2.4547089156850267E-6</v>
      </c>
      <c r="D186">
        <f>DIC!O185</f>
        <v>1.213410706554706E-4</v>
      </c>
      <c r="E186" s="31">
        <v>2</v>
      </c>
      <c r="F186">
        <f t="shared" si="25"/>
        <v>275.14999999999998</v>
      </c>
      <c r="G186">
        <f t="shared" si="26"/>
        <v>7.1743772542911699E-2</v>
      </c>
      <c r="H186">
        <f t="shared" si="27"/>
        <v>2.8081346341222542E-7</v>
      </c>
      <c r="I186">
        <f t="shared" si="28"/>
        <v>2.5339014130362006E-11</v>
      </c>
      <c r="J186">
        <f t="shared" si="29"/>
        <v>1.0888475803572936E-4</v>
      </c>
      <c r="K186">
        <f t="shared" si="30"/>
        <v>1.24561840393538E-5</v>
      </c>
      <c r="L186">
        <f t="shared" si="31"/>
        <v>1.2858038742059754E-10</v>
      </c>
      <c r="M186">
        <f t="shared" si="32"/>
        <v>1.2134107065547059E-4</v>
      </c>
      <c r="N186" s="25">
        <f t="shared" si="33"/>
        <v>1517.6893293505402</v>
      </c>
      <c r="O186" s="28">
        <f t="shared" si="34"/>
        <v>3.7942233233763507</v>
      </c>
      <c r="P186" s="1">
        <f t="shared" si="35"/>
        <v>1.3077059440091097</v>
      </c>
    </row>
    <row r="187" spans="1:16" x14ac:dyDescent="0.15">
      <c r="A187" t="s">
        <v>271</v>
      </c>
      <c r="B187" s="31">
        <v>5.04</v>
      </c>
      <c r="C187">
        <f t="shared" si="24"/>
        <v>9.1201083935590828E-6</v>
      </c>
      <c r="D187">
        <f>DIC!O186</f>
        <v>7.6300953466977854E-5</v>
      </c>
      <c r="E187" s="31">
        <v>8.2358333333333302</v>
      </c>
      <c r="F187">
        <f t="shared" si="25"/>
        <v>281.38583333333332</v>
      </c>
      <c r="G187">
        <f t="shared" si="26"/>
        <v>5.7040251382989883E-2</v>
      </c>
      <c r="H187">
        <f t="shared" si="27"/>
        <v>3.2975566415230569E-7</v>
      </c>
      <c r="I187">
        <f t="shared" si="28"/>
        <v>3.0846345528825101E-11</v>
      </c>
      <c r="J187">
        <f t="shared" si="29"/>
        <v>7.3638401544324079E-5</v>
      </c>
      <c r="K187">
        <f t="shared" si="30"/>
        <v>2.6625429173091823E-6</v>
      </c>
      <c r="L187">
        <f t="shared" si="31"/>
        <v>9.0053445933436185E-12</v>
      </c>
      <c r="M187">
        <f t="shared" si="32"/>
        <v>7.6300953466977854E-5</v>
      </c>
      <c r="N187" s="25">
        <f t="shared" si="33"/>
        <v>1290.9901299327719</v>
      </c>
      <c r="O187" s="28">
        <f t="shared" si="34"/>
        <v>3.2274753248319299</v>
      </c>
      <c r="P187" s="1">
        <f t="shared" si="35"/>
        <v>0.88439720254733212</v>
      </c>
    </row>
    <row r="188" spans="1:16" x14ac:dyDescent="0.15">
      <c r="A188" t="s">
        <v>272</v>
      </c>
      <c r="B188" s="31" t="s">
        <v>93</v>
      </c>
      <c r="C188" t="e">
        <f t="shared" si="24"/>
        <v>#VALUE!</v>
      </c>
      <c r="D188">
        <f>DIC!O187</f>
        <v>1.8078770469417377E-4</v>
      </c>
      <c r="E188" s="31">
        <v>2</v>
      </c>
      <c r="F188">
        <f t="shared" si="25"/>
        <v>275.14999999999998</v>
      </c>
      <c r="G188">
        <f t="shared" si="26"/>
        <v>7.1743772542911699E-2</v>
      </c>
      <c r="H188">
        <f t="shared" si="27"/>
        <v>2.8081346341222542E-7</v>
      </c>
      <c r="I188">
        <f t="shared" si="28"/>
        <v>2.5339014130362006E-11</v>
      </c>
      <c r="J188" t="e">
        <f t="shared" si="29"/>
        <v>#VALUE!</v>
      </c>
      <c r="K188" t="e">
        <f t="shared" si="30"/>
        <v>#VALUE!</v>
      </c>
      <c r="L188" t="e">
        <f t="shared" si="31"/>
        <v>#VALUE!</v>
      </c>
      <c r="M188" t="e">
        <f t="shared" si="32"/>
        <v>#VALUE!</v>
      </c>
      <c r="N188" s="25" t="e">
        <f t="shared" si="33"/>
        <v>#VALUE!</v>
      </c>
      <c r="O188" s="28" t="e">
        <f t="shared" si="34"/>
        <v>#VALUE!</v>
      </c>
      <c r="P188" s="1" t="e">
        <f t="shared" si="35"/>
        <v>#VALUE!</v>
      </c>
    </row>
    <row r="189" spans="1:16" x14ac:dyDescent="0.15">
      <c r="A189" t="s">
        <v>273</v>
      </c>
      <c r="B189" s="31">
        <v>5.29</v>
      </c>
      <c r="C189">
        <f t="shared" si="24"/>
        <v>5.1286138399136439E-6</v>
      </c>
      <c r="D189">
        <f>DIC!O188</f>
        <v>6.8363629144508649E-5</v>
      </c>
      <c r="E189" s="31">
        <v>5.6082812500000001</v>
      </c>
      <c r="F189">
        <f t="shared" si="25"/>
        <v>278.75828124999998</v>
      </c>
      <c r="G189">
        <f t="shared" si="26"/>
        <v>6.2663663310039239E-2</v>
      </c>
      <c r="H189">
        <f t="shared" si="27"/>
        <v>3.0923423494787553E-7</v>
      </c>
      <c r="I189">
        <f t="shared" si="28"/>
        <v>2.8476615729370921E-11</v>
      </c>
      <c r="J189">
        <f t="shared" si="29"/>
        <v>6.447597267224034E-5</v>
      </c>
      <c r="K189">
        <f t="shared" si="30"/>
        <v>3.8876348861851711E-6</v>
      </c>
      <c r="L189">
        <f t="shared" si="31"/>
        <v>2.1586083141688798E-11</v>
      </c>
      <c r="M189">
        <f t="shared" si="32"/>
        <v>6.8363629144508649E-5</v>
      </c>
      <c r="N189" s="25">
        <f t="shared" si="33"/>
        <v>1028.9212163233162</v>
      </c>
      <c r="O189" s="28">
        <f t="shared" si="34"/>
        <v>2.5723030408082908</v>
      </c>
      <c r="P189" s="1">
        <f t="shared" si="35"/>
        <v>0.77435643179360647</v>
      </c>
    </row>
    <row r="190" spans="1:16" x14ac:dyDescent="0.15">
      <c r="A190" t="s">
        <v>274</v>
      </c>
      <c r="B190" s="31">
        <v>4.99</v>
      </c>
      <c r="C190">
        <f t="shared" si="24"/>
        <v>1.0232929922807521E-5</v>
      </c>
      <c r="D190">
        <f>DIC!O189</f>
        <v>1.0647941214579481E-4</v>
      </c>
      <c r="E190" s="31">
        <v>11.219687499999999</v>
      </c>
      <c r="F190">
        <f t="shared" si="25"/>
        <v>284.3696875</v>
      </c>
      <c r="G190">
        <f t="shared" si="26"/>
        <v>5.1491728692105526E-2</v>
      </c>
      <c r="H190">
        <f t="shared" si="27"/>
        <v>3.526347961370343E-7</v>
      </c>
      <c r="I190">
        <f t="shared" si="28"/>
        <v>3.3608402675061751E-11</v>
      </c>
      <c r="J190">
        <f t="shared" si="29"/>
        <v>1.0293227356556443E-4</v>
      </c>
      <c r="K190">
        <f t="shared" si="30"/>
        <v>3.5471269302658946E-6</v>
      </c>
      <c r="L190">
        <f t="shared" si="31"/>
        <v>1.1649964488296265E-11</v>
      </c>
      <c r="M190">
        <f t="shared" si="32"/>
        <v>1.0647941214579482E-4</v>
      </c>
      <c r="N190" s="25">
        <f t="shared" si="33"/>
        <v>1999.0059797962372</v>
      </c>
      <c r="O190" s="28">
        <f t="shared" si="34"/>
        <v>4.9975149494905926</v>
      </c>
      <c r="P190" s="1">
        <f t="shared" si="35"/>
        <v>1.2362166055224288</v>
      </c>
    </row>
    <row r="191" spans="1:16" x14ac:dyDescent="0.15">
      <c r="A191" t="s">
        <v>275</v>
      </c>
      <c r="B191" s="31">
        <v>4.76</v>
      </c>
      <c r="C191">
        <f t="shared" si="24"/>
        <v>1.7378008287493744E-5</v>
      </c>
      <c r="D191">
        <f>DIC!O190</f>
        <v>1.6258179433927445E-4</v>
      </c>
      <c r="E191" s="31">
        <v>9.5078125</v>
      </c>
      <c r="F191">
        <f t="shared" si="25"/>
        <v>282.65781249999998</v>
      </c>
      <c r="G191">
        <f t="shared" si="26"/>
        <v>5.4574393922993833E-2</v>
      </c>
      <c r="H191">
        <f t="shared" si="27"/>
        <v>3.3957759799746477E-7</v>
      </c>
      <c r="I191">
        <f t="shared" si="28"/>
        <v>3.2015467749619897E-11</v>
      </c>
      <c r="J191">
        <f t="shared" si="29"/>
        <v>1.5946572450228224E-4</v>
      </c>
      <c r="K191">
        <f t="shared" si="30"/>
        <v>3.1160640962739536E-6</v>
      </c>
      <c r="L191">
        <f t="shared" si="31"/>
        <v>5.7407182646933211E-12</v>
      </c>
      <c r="M191">
        <f t="shared" si="32"/>
        <v>1.6258179433927445E-4</v>
      </c>
      <c r="N191" s="25">
        <f t="shared" si="33"/>
        <v>2921.9880064503022</v>
      </c>
      <c r="O191" s="28">
        <f t="shared" si="34"/>
        <v>7.3049700161257558</v>
      </c>
      <c r="P191" s="1">
        <f t="shared" si="35"/>
        <v>1.9151833512724097</v>
      </c>
    </row>
    <row r="192" spans="1:16" x14ac:dyDescent="0.15">
      <c r="A192" t="s">
        <v>276</v>
      </c>
      <c r="B192" s="31">
        <v>4.97</v>
      </c>
      <c r="C192">
        <f t="shared" si="24"/>
        <v>1.071519305237606E-5</v>
      </c>
      <c r="D192">
        <f>DIC!O191</f>
        <v>1.0052724207812918E-4</v>
      </c>
      <c r="E192" s="31">
        <v>7.6369479166666698</v>
      </c>
      <c r="F192">
        <f t="shared" si="25"/>
        <v>280.78694791666663</v>
      </c>
      <c r="G192">
        <f t="shared" si="26"/>
        <v>5.8256801645800299E-2</v>
      </c>
      <c r="H192">
        <f t="shared" si="27"/>
        <v>3.2510218894534405E-7</v>
      </c>
      <c r="I192">
        <f t="shared" si="28"/>
        <v>3.0300606439398298E-11</v>
      </c>
      <c r="J192">
        <f t="shared" si="29"/>
        <v>9.756702086754399E-5</v>
      </c>
      <c r="K192">
        <f t="shared" si="30"/>
        <v>2.9602128396446358E-6</v>
      </c>
      <c r="L192">
        <f t="shared" si="31"/>
        <v>8.3709405693848817E-12</v>
      </c>
      <c r="M192">
        <f t="shared" si="32"/>
        <v>1.0052724207812918E-4</v>
      </c>
      <c r="N192" s="25">
        <f t="shared" si="33"/>
        <v>1674.7747578170995</v>
      </c>
      <c r="O192" s="28">
        <f t="shared" si="34"/>
        <v>4.1869368945427485</v>
      </c>
      <c r="P192" s="1">
        <f t="shared" si="35"/>
        <v>1.1717799206192032</v>
      </c>
    </row>
    <row r="193" spans="1:16" x14ac:dyDescent="0.15">
      <c r="A193" t="s">
        <v>277</v>
      </c>
      <c r="B193" s="31">
        <v>5.28</v>
      </c>
      <c r="C193">
        <f t="shared" si="24"/>
        <v>5.2480746024977206E-6</v>
      </c>
      <c r="D193">
        <f>DIC!O192</f>
        <v>9.8436632246440861E-5</v>
      </c>
      <c r="E193" s="31">
        <v>2</v>
      </c>
      <c r="F193">
        <f t="shared" si="25"/>
        <v>275.14999999999998</v>
      </c>
      <c r="G193">
        <f t="shared" si="26"/>
        <v>7.1743772542911699E-2</v>
      </c>
      <c r="H193">
        <f t="shared" si="27"/>
        <v>2.8081346341222542E-7</v>
      </c>
      <c r="I193">
        <f t="shared" si="28"/>
        <v>2.5339014130362006E-11</v>
      </c>
      <c r="J193">
        <f t="shared" si="29"/>
        <v>9.3436990730170704E-5</v>
      </c>
      <c r="K193">
        <f t="shared" si="30"/>
        <v>4.9996173768695266E-6</v>
      </c>
      <c r="L193">
        <f t="shared" si="31"/>
        <v>2.4139400628681402E-11</v>
      </c>
      <c r="M193">
        <f t="shared" si="32"/>
        <v>9.8436632246440861E-5</v>
      </c>
      <c r="N193" s="25">
        <f t="shared" si="33"/>
        <v>1302.3707482664611</v>
      </c>
      <c r="O193" s="28">
        <f t="shared" si="34"/>
        <v>3.2559268706661526</v>
      </c>
      <c r="P193" s="1">
        <f t="shared" si="35"/>
        <v>1.1221782586693501</v>
      </c>
    </row>
    <row r="194" spans="1:16" x14ac:dyDescent="0.15">
      <c r="A194" t="s">
        <v>278</v>
      </c>
      <c r="B194" s="31">
        <v>4.8899999999999997</v>
      </c>
      <c r="C194">
        <f t="shared" si="24"/>
        <v>1.2882495516931347E-5</v>
      </c>
      <c r="D194">
        <f>DIC!O193</f>
        <v>1.5216483099820649E-4</v>
      </c>
      <c r="E194" s="31">
        <v>2</v>
      </c>
      <c r="F194">
        <f t="shared" si="25"/>
        <v>275.14999999999998</v>
      </c>
      <c r="G194">
        <f t="shared" si="26"/>
        <v>7.1743772542911699E-2</v>
      </c>
      <c r="H194">
        <f t="shared" si="27"/>
        <v>2.8081346341222542E-7</v>
      </c>
      <c r="I194">
        <f t="shared" si="28"/>
        <v>2.5339014130362006E-11</v>
      </c>
      <c r="J194">
        <f t="shared" si="29"/>
        <v>1.4891868555560436E-4</v>
      </c>
      <c r="K194">
        <f t="shared" si="30"/>
        <v>3.246139057661918E-6</v>
      </c>
      <c r="L194">
        <f t="shared" si="31"/>
        <v>6.3849401960287674E-12</v>
      </c>
      <c r="M194">
        <f t="shared" si="32"/>
        <v>1.5216483099820646E-4</v>
      </c>
      <c r="N194" s="25">
        <f t="shared" si="33"/>
        <v>2075.7019080162318</v>
      </c>
      <c r="O194" s="28">
        <f t="shared" si="34"/>
        <v>5.1892547700405798</v>
      </c>
      <c r="P194" s="1">
        <f t="shared" si="35"/>
        <v>1.7885134135228085</v>
      </c>
    </row>
    <row r="195" spans="1:16" x14ac:dyDescent="0.15">
      <c r="A195" t="s">
        <v>279</v>
      </c>
      <c r="B195" s="31">
        <v>5.82</v>
      </c>
      <c r="C195">
        <f t="shared" si="24"/>
        <v>1.5135612484362063E-6</v>
      </c>
      <c r="D195">
        <f>DIC!O194</f>
        <v>3.9287231377931183E-4</v>
      </c>
      <c r="E195" s="31">
        <v>2</v>
      </c>
      <c r="F195">
        <f t="shared" si="25"/>
        <v>275.14999999999998</v>
      </c>
      <c r="G195">
        <f t="shared" si="26"/>
        <v>7.1743772542911699E-2</v>
      </c>
      <c r="H195">
        <f t="shared" si="27"/>
        <v>2.8081346341222542E-7</v>
      </c>
      <c r="I195">
        <f t="shared" si="28"/>
        <v>2.5339014130362006E-11</v>
      </c>
      <c r="J195">
        <f t="shared" si="29"/>
        <v>3.3138828131867837E-4</v>
      </c>
      <c r="K195">
        <f t="shared" si="30"/>
        <v>6.148300315396531E-5</v>
      </c>
      <c r="L195">
        <f t="shared" si="31"/>
        <v>1.0293066681675698E-9</v>
      </c>
      <c r="M195">
        <f t="shared" si="32"/>
        <v>3.9287231377931183E-4</v>
      </c>
      <c r="N195" s="25">
        <f t="shared" si="33"/>
        <v>4619.0529097207291</v>
      </c>
      <c r="O195" s="28">
        <f t="shared" si="34"/>
        <v>11.547632274301822</v>
      </c>
      <c r="P195" s="1">
        <f t="shared" si="35"/>
        <v>3.9799732586373273</v>
      </c>
    </row>
    <row r="196" spans="1:16" x14ac:dyDescent="0.15">
      <c r="A196" t="s">
        <v>280</v>
      </c>
      <c r="B196" s="31">
        <v>5.49</v>
      </c>
      <c r="C196">
        <f t="shared" si="24"/>
        <v>3.2359365692962801E-6</v>
      </c>
      <c r="D196">
        <f>DIC!O195</f>
        <v>1.4931595726191914E-4</v>
      </c>
      <c r="E196" s="31">
        <v>9.5078125</v>
      </c>
      <c r="F196">
        <f t="shared" si="25"/>
        <v>282.65781249999998</v>
      </c>
      <c r="G196">
        <f t="shared" si="26"/>
        <v>5.4574393922993833E-2</v>
      </c>
      <c r="H196">
        <f t="shared" si="27"/>
        <v>3.3957759799746477E-7</v>
      </c>
      <c r="I196">
        <f t="shared" si="28"/>
        <v>3.2015467749619897E-11</v>
      </c>
      <c r="J196">
        <f t="shared" si="29"/>
        <v>1.3513483372329144E-4</v>
      </c>
      <c r="K196">
        <f t="shared" si="30"/>
        <v>1.418098323587398E-5</v>
      </c>
      <c r="L196">
        <f t="shared" si="31"/>
        <v>1.4030275369234376E-10</v>
      </c>
      <c r="M196">
        <f t="shared" si="32"/>
        <v>1.4931595726191911E-4</v>
      </c>
      <c r="N196" s="25">
        <f t="shared" si="33"/>
        <v>2476.1582128419218</v>
      </c>
      <c r="O196" s="28">
        <f t="shared" si="34"/>
        <v>6.1903955321048043</v>
      </c>
      <c r="P196" s="1">
        <f t="shared" si="35"/>
        <v>1.6229693530167302</v>
      </c>
    </row>
    <row r="197" spans="1:16" x14ac:dyDescent="0.15">
      <c r="A197" t="s">
        <v>281</v>
      </c>
      <c r="B197" s="31">
        <v>4.7699999999999996</v>
      </c>
      <c r="C197">
        <f t="shared" si="24"/>
        <v>1.6982436524617432E-5</v>
      </c>
      <c r="D197">
        <f>DIC!O196</f>
        <v>1.6021525164186561E-4</v>
      </c>
      <c r="E197" s="31">
        <v>13.2303125</v>
      </c>
      <c r="F197">
        <f t="shared" si="25"/>
        <v>286.3803125</v>
      </c>
      <c r="G197">
        <f t="shared" si="26"/>
        <v>4.8184739274933913E-2</v>
      </c>
      <c r="H197">
        <f t="shared" si="27"/>
        <v>3.6767484204818881E-7</v>
      </c>
      <c r="I197">
        <f t="shared" si="28"/>
        <v>3.5503600218806492E-11</v>
      </c>
      <c r="J197">
        <f t="shared" si="29"/>
        <v>1.5682004358595836E-4</v>
      </c>
      <c r="K197">
        <f t="shared" si="30"/>
        <v>3.3952009578764624E-6</v>
      </c>
      <c r="L197">
        <f t="shared" si="31"/>
        <v>7.0980307976549469E-12</v>
      </c>
      <c r="M197">
        <f t="shared" si="32"/>
        <v>1.6021525164186561E-4</v>
      </c>
      <c r="N197" s="25">
        <f t="shared" si="33"/>
        <v>3254.5583092433044</v>
      </c>
      <c r="O197" s="28">
        <f t="shared" si="34"/>
        <v>8.1363957731082603</v>
      </c>
      <c r="P197" s="1">
        <f t="shared" si="35"/>
        <v>1.8834087234673598</v>
      </c>
    </row>
    <row r="198" spans="1:16" x14ac:dyDescent="0.15">
      <c r="A198" t="s">
        <v>282</v>
      </c>
      <c r="B198" s="31">
        <v>5</v>
      </c>
      <c r="C198">
        <f t="shared" si="24"/>
        <v>1.0000000000000001E-5</v>
      </c>
      <c r="D198">
        <f>DIC!O197</f>
        <v>8.9169951058054765E-5</v>
      </c>
      <c r="E198" s="31">
        <v>2</v>
      </c>
      <c r="F198">
        <f t="shared" si="25"/>
        <v>275.14999999999998</v>
      </c>
      <c r="G198">
        <f t="shared" si="26"/>
        <v>7.1743772542911699E-2</v>
      </c>
      <c r="H198">
        <f t="shared" si="27"/>
        <v>2.8081346341222542E-7</v>
      </c>
      <c r="I198">
        <f t="shared" si="28"/>
        <v>2.5339014130362006E-11</v>
      </c>
      <c r="J198">
        <f t="shared" si="29"/>
        <v>8.6734328177224247E-5</v>
      </c>
      <c r="K198">
        <f t="shared" si="30"/>
        <v>2.4356167092178911E-6</v>
      </c>
      <c r="L198">
        <f t="shared" si="31"/>
        <v>6.1716126211017943E-12</v>
      </c>
      <c r="M198">
        <f t="shared" si="32"/>
        <v>8.9169951058054752E-5</v>
      </c>
      <c r="N198" s="25">
        <f t="shared" si="33"/>
        <v>1208.9457398598092</v>
      </c>
      <c r="O198" s="28">
        <f t="shared" si="34"/>
        <v>3.0223643496495232</v>
      </c>
      <c r="P198" s="1">
        <f t="shared" si="35"/>
        <v>1.0416792814084632</v>
      </c>
    </row>
    <row r="199" spans="1:16" x14ac:dyDescent="0.15">
      <c r="A199" t="s">
        <v>283</v>
      </c>
      <c r="B199" s="31">
        <v>5.09</v>
      </c>
      <c r="C199">
        <f t="shared" si="24"/>
        <v>8.128305161640983E-6</v>
      </c>
      <c r="D199">
        <f>DIC!O198</f>
        <v>1.0595488302192389E-4</v>
      </c>
      <c r="E199" s="31">
        <v>13.098437499999999</v>
      </c>
      <c r="F199">
        <f t="shared" si="25"/>
        <v>286.24843749999997</v>
      </c>
      <c r="G199">
        <f t="shared" si="26"/>
        <v>4.8391962393845592E-2</v>
      </c>
      <c r="H199">
        <f t="shared" si="27"/>
        <v>3.6669956694134994E-7</v>
      </c>
      <c r="I199">
        <f t="shared" si="28"/>
        <v>3.5378597631790706E-11</v>
      </c>
      <c r="J199">
        <f t="shared" si="29"/>
        <v>1.0138116319810527E-4</v>
      </c>
      <c r="K199">
        <f t="shared" si="30"/>
        <v>4.5736999167056573E-6</v>
      </c>
      <c r="L199">
        <f t="shared" si="31"/>
        <v>1.9907112961912578E-11</v>
      </c>
      <c r="M199">
        <f t="shared" si="32"/>
        <v>1.0595488302192389E-4</v>
      </c>
      <c r="N199" s="25">
        <f t="shared" si="33"/>
        <v>2095.0000409778536</v>
      </c>
      <c r="O199" s="28">
        <f t="shared" si="34"/>
        <v>5.2375001024446339</v>
      </c>
      <c r="P199" s="1">
        <f t="shared" si="35"/>
        <v>1.2175877700092441</v>
      </c>
    </row>
    <row r="200" spans="1:16" x14ac:dyDescent="0.15">
      <c r="A200" t="s">
        <v>284</v>
      </c>
      <c r="B200" s="31">
        <v>5.67</v>
      </c>
      <c r="C200">
        <f t="shared" ref="C200:C236" si="36">10^-B200</f>
        <v>2.1379620895022301E-6</v>
      </c>
      <c r="D200">
        <f>DIC!O199</f>
        <v>2.4705321734319878E-4</v>
      </c>
      <c r="E200" s="31">
        <v>13.2303125</v>
      </c>
      <c r="F200">
        <f t="shared" ref="F200:F236" si="37">E200+273.15</f>
        <v>286.3803125</v>
      </c>
      <c r="G200">
        <f t="shared" ref="G200:G236" si="38">EXP(-58.0931+(90.5069*(100/F200))+(22.294*LN(F200/100)))</f>
        <v>4.8184739274933913E-2</v>
      </c>
      <c r="H200">
        <f t="shared" ref="H200:H236" si="39">10^((-3404.71/F200)+14.8435-0.032786*F200)</f>
        <v>3.6767484204818881E-7</v>
      </c>
      <c r="I200">
        <f t="shared" ref="I200:I236" si="40">10^((-2902.39/F200)+6.498-0.02379*F200)</f>
        <v>3.5503600218806492E-11</v>
      </c>
      <c r="J200">
        <f t="shared" ref="J200:J236" si="41">D200/(1+(H200/C200)+(H200*I200/C200^2))</f>
        <v>2.1080034343056898E-4</v>
      </c>
      <c r="K200">
        <f t="shared" ref="K200:K236" si="42">J200*H200/C200</f>
        <v>3.6252271897198934E-5</v>
      </c>
      <c r="L200">
        <f t="shared" ref="L200:L236" si="43">K200*I200/C200</f>
        <v>6.0201543085419702E-10</v>
      </c>
      <c r="M200">
        <f t="shared" ref="M200:M236" si="44">SUM(J200:L200)</f>
        <v>2.4705321734319873E-4</v>
      </c>
      <c r="N200" s="25">
        <f t="shared" ref="N200:N236" si="45">J200/G200*1000000</f>
        <v>4374.8362365888943</v>
      </c>
      <c r="O200" s="28">
        <f t="shared" ref="O200:O236" si="46">N200/$Q$2</f>
        <v>10.937090591472236</v>
      </c>
      <c r="P200" s="1">
        <f t="shared" ref="P200:P236" si="47">J200*1000*12.01</f>
        <v>2.5317121246011332</v>
      </c>
    </row>
    <row r="201" spans="1:16" x14ac:dyDescent="0.15">
      <c r="A201" t="s">
        <v>285</v>
      </c>
      <c r="B201" s="31">
        <v>5.49</v>
      </c>
      <c r="C201">
        <f t="shared" si="36"/>
        <v>3.2359365692962801E-6</v>
      </c>
      <c r="D201">
        <f>DIC!O200</f>
        <v>1.3754839842230996E-4</v>
      </c>
      <c r="E201" s="31">
        <v>2</v>
      </c>
      <c r="F201">
        <f t="shared" si="37"/>
        <v>275.14999999999998</v>
      </c>
      <c r="G201">
        <f t="shared" si="38"/>
        <v>7.1743772542911699E-2</v>
      </c>
      <c r="H201">
        <f t="shared" si="39"/>
        <v>2.8081346341222542E-7</v>
      </c>
      <c r="I201">
        <f t="shared" si="40"/>
        <v>2.5339014130362006E-11</v>
      </c>
      <c r="J201">
        <f t="shared" si="41"/>
        <v>1.2656504160315059E-4</v>
      </c>
      <c r="K201">
        <f t="shared" si="42"/>
        <v>1.0983270814613732E-5</v>
      </c>
      <c r="L201">
        <f t="shared" si="43"/>
        <v>8.6004545642133246E-11</v>
      </c>
      <c r="M201">
        <f t="shared" si="44"/>
        <v>1.3754839842230996E-4</v>
      </c>
      <c r="N201" s="25">
        <f t="shared" si="45"/>
        <v>1764.1258205016882</v>
      </c>
      <c r="O201" s="28">
        <f t="shared" si="46"/>
        <v>4.4103145512542206</v>
      </c>
      <c r="P201" s="1">
        <f t="shared" si="47"/>
        <v>1.5200461496538387</v>
      </c>
    </row>
    <row r="202" spans="1:16" x14ac:dyDescent="0.15">
      <c r="A202" t="s">
        <v>286</v>
      </c>
      <c r="B202" s="31">
        <v>5.24</v>
      </c>
      <c r="C202">
        <f t="shared" si="36"/>
        <v>5.7543993733715608E-6</v>
      </c>
      <c r="D202">
        <f>DIC!O201</f>
        <v>1.821855412073474E-4</v>
      </c>
      <c r="E202" s="31">
        <v>2</v>
      </c>
      <c r="F202">
        <f t="shared" si="37"/>
        <v>275.14999999999998</v>
      </c>
      <c r="G202">
        <f t="shared" si="38"/>
        <v>7.1743772542911699E-2</v>
      </c>
      <c r="H202">
        <f t="shared" si="39"/>
        <v>2.8081346341222542E-7</v>
      </c>
      <c r="I202">
        <f t="shared" si="40"/>
        <v>2.5339014130362006E-11</v>
      </c>
      <c r="J202">
        <f t="shared" si="41"/>
        <v>1.7370856301437054E-4</v>
      </c>
      <c r="K202">
        <f t="shared" si="42"/>
        <v>8.4769408654800538E-6</v>
      </c>
      <c r="L202">
        <f t="shared" si="43"/>
        <v>3.7327496830792662E-11</v>
      </c>
      <c r="M202">
        <f t="shared" si="44"/>
        <v>1.8218554120734743E-4</v>
      </c>
      <c r="N202" s="25">
        <f t="shared" si="45"/>
        <v>2421.2354167808949</v>
      </c>
      <c r="O202" s="28">
        <f t="shared" si="46"/>
        <v>6.0530885419522376</v>
      </c>
      <c r="P202" s="1">
        <f t="shared" si="47"/>
        <v>2.0862398418025903</v>
      </c>
    </row>
    <row r="203" spans="1:16" x14ac:dyDescent="0.15">
      <c r="A203" t="s">
        <v>287</v>
      </c>
      <c r="B203" s="31">
        <v>4.8600000000000003</v>
      </c>
      <c r="C203">
        <f t="shared" si="36"/>
        <v>1.3803842646028827E-5</v>
      </c>
      <c r="D203">
        <f>DIC!O202</f>
        <v>1.2671173086609375E-4</v>
      </c>
      <c r="E203" s="31">
        <v>2</v>
      </c>
      <c r="F203">
        <f t="shared" si="37"/>
        <v>275.14999999999998</v>
      </c>
      <c r="G203">
        <f t="shared" si="38"/>
        <v>7.1743772542911699E-2</v>
      </c>
      <c r="H203">
        <f t="shared" si="39"/>
        <v>2.8081346341222542E-7</v>
      </c>
      <c r="I203">
        <f t="shared" si="40"/>
        <v>2.5339014130362006E-11</v>
      </c>
      <c r="J203">
        <f t="shared" si="41"/>
        <v>1.2418540549915128E-4</v>
      </c>
      <c r="K203">
        <f t="shared" si="42"/>
        <v>2.5263207295035886E-6</v>
      </c>
      <c r="L203">
        <f t="shared" si="43"/>
        <v>4.6374388859854152E-12</v>
      </c>
      <c r="M203">
        <f t="shared" si="44"/>
        <v>1.2671173086609377E-4</v>
      </c>
      <c r="N203" s="25">
        <f t="shared" si="45"/>
        <v>1730.9572816912153</v>
      </c>
      <c r="O203" s="28">
        <f t="shared" si="46"/>
        <v>4.3273932042280379</v>
      </c>
      <c r="P203" s="1">
        <f t="shared" si="47"/>
        <v>1.4914667200448068</v>
      </c>
    </row>
    <row r="204" spans="1:16" x14ac:dyDescent="0.15">
      <c r="A204" t="s">
        <v>288</v>
      </c>
      <c r="B204" s="31">
        <v>4.7699999999999996</v>
      </c>
      <c r="C204">
        <f t="shared" si="36"/>
        <v>1.6982436524617432E-5</v>
      </c>
      <c r="D204">
        <f>DIC!O203</f>
        <v>2.0591276418702252E-4</v>
      </c>
      <c r="E204" s="31">
        <v>2</v>
      </c>
      <c r="F204">
        <f t="shared" si="37"/>
        <v>275.14999999999998</v>
      </c>
      <c r="G204">
        <f t="shared" si="38"/>
        <v>7.1743772542911699E-2</v>
      </c>
      <c r="H204">
        <f t="shared" si="39"/>
        <v>2.8081346341222542E-7</v>
      </c>
      <c r="I204">
        <f t="shared" si="40"/>
        <v>2.5339014130362006E-11</v>
      </c>
      <c r="J204">
        <f t="shared" si="41"/>
        <v>2.0256326966049945E-4</v>
      </c>
      <c r="K204">
        <f t="shared" si="42"/>
        <v>3.3494895288443199E-6</v>
      </c>
      <c r="L204">
        <f t="shared" si="43"/>
        <v>4.9976787711148383E-12</v>
      </c>
      <c r="M204">
        <f t="shared" si="44"/>
        <v>2.0591276418702254E-4</v>
      </c>
      <c r="N204" s="25">
        <f t="shared" si="45"/>
        <v>2823.4265146754224</v>
      </c>
      <c r="O204" s="28">
        <f t="shared" si="46"/>
        <v>7.0585662866885563</v>
      </c>
      <c r="P204" s="1">
        <f t="shared" si="47"/>
        <v>2.4327848686225986</v>
      </c>
    </row>
    <row r="205" spans="1:16" x14ac:dyDescent="0.15">
      <c r="A205" t="s">
        <v>289</v>
      </c>
      <c r="B205" s="31">
        <v>5.24</v>
      </c>
      <c r="C205">
        <f t="shared" si="36"/>
        <v>5.7543993733715608E-6</v>
      </c>
      <c r="D205">
        <f>DIC!O204</f>
        <v>8.4274345901926256E-5</v>
      </c>
      <c r="E205" s="31">
        <v>7.1957500000000003</v>
      </c>
      <c r="F205">
        <f t="shared" si="37"/>
        <v>280.34574999999995</v>
      </c>
      <c r="G205">
        <f t="shared" si="38"/>
        <v>5.9176857184176916E-2</v>
      </c>
      <c r="H205">
        <f t="shared" si="39"/>
        <v>3.2166379593311636E-7</v>
      </c>
      <c r="I205">
        <f t="shared" si="40"/>
        <v>2.9900607503753674E-11</v>
      </c>
      <c r="J205">
        <f t="shared" si="41"/>
        <v>7.9812881521611323E-5</v>
      </c>
      <c r="K205">
        <f t="shared" si="42"/>
        <v>4.461441198086249E-6</v>
      </c>
      <c r="L205">
        <f t="shared" si="43"/>
        <v>2.3182228675743302E-11</v>
      </c>
      <c r="M205">
        <f t="shared" si="44"/>
        <v>8.4274345901926256E-5</v>
      </c>
      <c r="N205" s="25">
        <f t="shared" si="45"/>
        <v>1348.7178150270574</v>
      </c>
      <c r="O205" s="28">
        <f t="shared" si="46"/>
        <v>3.3717945375676437</v>
      </c>
      <c r="P205" s="1">
        <f t="shared" si="47"/>
        <v>0.95855270707455198</v>
      </c>
    </row>
    <row r="206" spans="1:16" x14ac:dyDescent="0.15">
      <c r="A206" t="s">
        <v>290</v>
      </c>
      <c r="B206" s="31">
        <v>4.76</v>
      </c>
      <c r="C206">
        <f t="shared" si="36"/>
        <v>1.7378008287493744E-5</v>
      </c>
      <c r="D206">
        <f>DIC!O205</f>
        <v>2.1837895857158902E-4</v>
      </c>
      <c r="E206" s="31">
        <v>2</v>
      </c>
      <c r="F206">
        <f t="shared" si="37"/>
        <v>275.14999999999998</v>
      </c>
      <c r="G206">
        <f t="shared" si="38"/>
        <v>7.1743772542911699E-2</v>
      </c>
      <c r="H206">
        <f t="shared" si="39"/>
        <v>2.8081346341222542E-7</v>
      </c>
      <c r="I206">
        <f t="shared" si="40"/>
        <v>2.5339014130362006E-11</v>
      </c>
      <c r="J206">
        <f t="shared" si="41"/>
        <v>2.1490625577450496E-4</v>
      </c>
      <c r="K206">
        <f t="shared" si="42"/>
        <v>3.4726977335154546E-6</v>
      </c>
      <c r="L206">
        <f t="shared" si="43"/>
        <v>5.0635685910767172E-12</v>
      </c>
      <c r="M206">
        <f t="shared" si="44"/>
        <v>2.1837895857158902E-4</v>
      </c>
      <c r="N206" s="25">
        <f t="shared" si="45"/>
        <v>2995.4691279436734</v>
      </c>
      <c r="O206" s="28">
        <f t="shared" si="46"/>
        <v>7.4886728198591834</v>
      </c>
      <c r="P206" s="1">
        <f t="shared" si="47"/>
        <v>2.5810241318518043</v>
      </c>
    </row>
    <row r="207" spans="1:16" x14ac:dyDescent="0.15">
      <c r="A207" t="s">
        <v>291</v>
      </c>
      <c r="B207" s="31">
        <v>5.0599999999999996</v>
      </c>
      <c r="C207">
        <f t="shared" si="36"/>
        <v>8.7096358995608107E-6</v>
      </c>
      <c r="D207">
        <f>DIC!O206</f>
        <v>1.2466308843998635E-4</v>
      </c>
      <c r="E207" s="31">
        <v>10.7601041666667</v>
      </c>
      <c r="F207">
        <f t="shared" si="37"/>
        <v>283.91010416666666</v>
      </c>
      <c r="G207">
        <f t="shared" si="38"/>
        <v>5.2294037379951072E-2</v>
      </c>
      <c r="H207">
        <f t="shared" si="39"/>
        <v>3.4914986759939156E-7</v>
      </c>
      <c r="I207">
        <f t="shared" si="40"/>
        <v>3.3178719088324193E-11</v>
      </c>
      <c r="J207">
        <f t="shared" si="41"/>
        <v>1.1985822150076957E-4</v>
      </c>
      <c r="K207">
        <f t="shared" si="42"/>
        <v>4.804848635498354E-6</v>
      </c>
      <c r="L207">
        <f t="shared" si="43"/>
        <v>1.8303718430658679E-11</v>
      </c>
      <c r="M207">
        <f t="shared" si="44"/>
        <v>1.2466308843998635E-4</v>
      </c>
      <c r="N207" s="25">
        <f t="shared" si="45"/>
        <v>2292.0055039912031</v>
      </c>
      <c r="O207" s="28">
        <f t="shared" si="46"/>
        <v>5.7300137599780081</v>
      </c>
      <c r="P207" s="1">
        <f t="shared" si="47"/>
        <v>1.4394972402242425</v>
      </c>
    </row>
    <row r="208" spans="1:16" x14ac:dyDescent="0.15">
      <c r="A208" t="s">
        <v>292</v>
      </c>
      <c r="B208" s="31">
        <v>4.76</v>
      </c>
      <c r="C208">
        <f t="shared" si="36"/>
        <v>1.7378008287493744E-5</v>
      </c>
      <c r="D208">
        <f>DIC!O207</f>
        <v>1.7531841576051634E-4</v>
      </c>
      <c r="E208" s="31">
        <v>12.3645833333333</v>
      </c>
      <c r="F208">
        <f t="shared" si="37"/>
        <v>285.51458333333329</v>
      </c>
      <c r="G208">
        <f t="shared" si="38"/>
        <v>4.9569383596102141E-2</v>
      </c>
      <c r="H208">
        <f t="shared" si="39"/>
        <v>3.6124256602563901E-7</v>
      </c>
      <c r="I208">
        <f t="shared" si="40"/>
        <v>3.4684690406298176E-11</v>
      </c>
      <c r="J208">
        <f t="shared" si="41"/>
        <v>1.7174821999888407E-4</v>
      </c>
      <c r="K208">
        <f t="shared" si="42"/>
        <v>3.57018863590844E-6</v>
      </c>
      <c r="L208">
        <f t="shared" si="43"/>
        <v>7.1257238159843887E-12</v>
      </c>
      <c r="M208">
        <f t="shared" si="44"/>
        <v>1.7531841576051631E-4</v>
      </c>
      <c r="N208" s="25">
        <f t="shared" si="45"/>
        <v>3464.8044324761258</v>
      </c>
      <c r="O208" s="28">
        <f t="shared" si="46"/>
        <v>8.6620110811903146</v>
      </c>
      <c r="P208" s="1">
        <f t="shared" si="47"/>
        <v>2.0626961221865976</v>
      </c>
    </row>
    <row r="209" spans="1:16" x14ac:dyDescent="0.15">
      <c r="A209" t="s">
        <v>293</v>
      </c>
      <c r="B209" s="31">
        <v>5.57</v>
      </c>
      <c r="C209">
        <f t="shared" si="36"/>
        <v>2.6915348039269108E-6</v>
      </c>
      <c r="D209">
        <f>DIC!O208</f>
        <v>1.3987443303224278E-4</v>
      </c>
      <c r="E209" s="31">
        <v>2</v>
      </c>
      <c r="F209">
        <f t="shared" si="37"/>
        <v>275.14999999999998</v>
      </c>
      <c r="G209">
        <f t="shared" si="38"/>
        <v>7.1743772542911699E-2</v>
      </c>
      <c r="H209">
        <f t="shared" si="39"/>
        <v>2.8081346341222542E-7</v>
      </c>
      <c r="I209">
        <f t="shared" si="40"/>
        <v>2.5339014130362006E-11</v>
      </c>
      <c r="J209">
        <f t="shared" si="41"/>
        <v>1.2665964280701386E-4</v>
      </c>
      <c r="K209">
        <f t="shared" si="42"/>
        <v>1.3214665817919246E-5</v>
      </c>
      <c r="L209">
        <f t="shared" si="43"/>
        <v>1.244073096880379E-10</v>
      </c>
      <c r="M209">
        <f t="shared" si="44"/>
        <v>1.3987443303224278E-4</v>
      </c>
      <c r="N209" s="25">
        <f t="shared" si="45"/>
        <v>1765.4444186254025</v>
      </c>
      <c r="O209" s="28">
        <f t="shared" si="46"/>
        <v>4.4136110465635063</v>
      </c>
      <c r="P209" s="1">
        <f t="shared" si="47"/>
        <v>1.5211823101122364</v>
      </c>
    </row>
    <row r="210" spans="1:16" x14ac:dyDescent="0.15">
      <c r="A210" t="s">
        <v>294</v>
      </c>
      <c r="B210" s="31">
        <v>5.57</v>
      </c>
      <c r="C210">
        <f t="shared" si="36"/>
        <v>2.6915348039269108E-6</v>
      </c>
      <c r="D210">
        <f>DIC!O209</f>
        <v>1.7606694257933561E-4</v>
      </c>
      <c r="E210" s="31">
        <v>9.7789583333333301</v>
      </c>
      <c r="F210">
        <f t="shared" si="37"/>
        <v>282.9289583333333</v>
      </c>
      <c r="G210">
        <f t="shared" si="38"/>
        <v>5.4068628841100461E-2</v>
      </c>
      <c r="H210">
        <f t="shared" si="39"/>
        <v>3.4165905477180124E-7</v>
      </c>
      <c r="I210">
        <f t="shared" si="40"/>
        <v>3.2266351692942915E-11</v>
      </c>
      <c r="J210">
        <f t="shared" si="41"/>
        <v>1.5623454547846158E-4</v>
      </c>
      <c r="K210">
        <f t="shared" si="42"/>
        <v>1.9832159351234864E-5</v>
      </c>
      <c r="L210">
        <f t="shared" si="43"/>
        <v>2.3774963917383091E-10</v>
      </c>
      <c r="M210">
        <f t="shared" si="44"/>
        <v>1.7606694257933561E-4</v>
      </c>
      <c r="N210" s="25">
        <f t="shared" si="45"/>
        <v>2889.5599690092258</v>
      </c>
      <c r="O210" s="28">
        <f t="shared" si="46"/>
        <v>7.2238999225230645</v>
      </c>
      <c r="P210" s="1">
        <f t="shared" si="47"/>
        <v>1.8763768911963234</v>
      </c>
    </row>
    <row r="211" spans="1:16" x14ac:dyDescent="0.15">
      <c r="A211" t="s">
        <v>295</v>
      </c>
      <c r="B211" s="31">
        <v>4.92</v>
      </c>
      <c r="C211">
        <f t="shared" si="36"/>
        <v>1.2022644346174118E-5</v>
      </c>
      <c r="D211">
        <f>DIC!O210</f>
        <v>1.0385553409557299E-4</v>
      </c>
      <c r="E211" s="31">
        <v>7.1957500000000003</v>
      </c>
      <c r="F211">
        <f t="shared" si="37"/>
        <v>280.34574999999995</v>
      </c>
      <c r="G211">
        <f t="shared" si="38"/>
        <v>5.9176857184176916E-2</v>
      </c>
      <c r="H211">
        <f t="shared" si="39"/>
        <v>3.2166379593311636E-7</v>
      </c>
      <c r="I211">
        <f t="shared" si="40"/>
        <v>2.9900607503753674E-11</v>
      </c>
      <c r="J211">
        <f t="shared" si="41"/>
        <v>1.011492952477371E-4</v>
      </c>
      <c r="K211">
        <f t="shared" si="42"/>
        <v>2.7062321173711147E-6</v>
      </c>
      <c r="L211">
        <f t="shared" si="43"/>
        <v>6.7304647817612531E-12</v>
      </c>
      <c r="M211">
        <f t="shared" si="44"/>
        <v>1.0385553409557299E-4</v>
      </c>
      <c r="N211" s="25">
        <f t="shared" si="45"/>
        <v>1709.2711587053163</v>
      </c>
      <c r="O211" s="28">
        <f t="shared" si="46"/>
        <v>4.2731778967632907</v>
      </c>
      <c r="P211" s="1">
        <f t="shared" si="47"/>
        <v>1.2148030359253226</v>
      </c>
    </row>
    <row r="212" spans="1:16" x14ac:dyDescent="0.15">
      <c r="A212" t="s">
        <v>296</v>
      </c>
      <c r="B212" s="31">
        <v>4.8600000000000003</v>
      </c>
      <c r="C212">
        <f t="shared" si="36"/>
        <v>1.3803842646028827E-5</v>
      </c>
      <c r="D212">
        <f>DIC!O211</f>
        <v>1.2687889561496858E-4</v>
      </c>
      <c r="E212" s="31">
        <v>3.3451249999999999</v>
      </c>
      <c r="F212">
        <f t="shared" si="37"/>
        <v>276.49512499999997</v>
      </c>
      <c r="G212">
        <f t="shared" si="38"/>
        <v>6.8156007933084253E-2</v>
      </c>
      <c r="H212">
        <f t="shared" si="39"/>
        <v>2.9141719407551625E-7</v>
      </c>
      <c r="I212">
        <f t="shared" si="40"/>
        <v>2.6491479203604486E-11</v>
      </c>
      <c r="J212">
        <f t="shared" si="41"/>
        <v>1.2425569024951874E-4</v>
      </c>
      <c r="K212">
        <f t="shared" si="42"/>
        <v>2.6232003311663668E-6</v>
      </c>
      <c r="L212">
        <f t="shared" si="43"/>
        <v>5.0342834819240868E-12</v>
      </c>
      <c r="M212">
        <f t="shared" si="44"/>
        <v>1.2687889561496858E-4</v>
      </c>
      <c r="N212" s="25">
        <f t="shared" si="45"/>
        <v>1823.1069280277286</v>
      </c>
      <c r="O212" s="28">
        <f t="shared" si="46"/>
        <v>4.5577673200693214</v>
      </c>
      <c r="P212" s="1">
        <f t="shared" si="47"/>
        <v>1.49231083989672</v>
      </c>
    </row>
    <row r="213" spans="1:16" x14ac:dyDescent="0.15">
      <c r="A213" t="s">
        <v>297</v>
      </c>
      <c r="B213" s="31">
        <v>4.91</v>
      </c>
      <c r="C213">
        <f t="shared" si="36"/>
        <v>1.2302687708123802E-5</v>
      </c>
      <c r="D213">
        <f>DIC!O212</f>
        <v>2.7380420266061517E-4</v>
      </c>
      <c r="E213" s="31">
        <v>2</v>
      </c>
      <c r="F213">
        <f t="shared" si="37"/>
        <v>275.14999999999998</v>
      </c>
      <c r="G213">
        <f t="shared" si="38"/>
        <v>7.1743772542911699E-2</v>
      </c>
      <c r="H213">
        <f t="shared" si="39"/>
        <v>2.8081346341222542E-7</v>
      </c>
      <c r="I213">
        <f t="shared" si="40"/>
        <v>2.5339014130362006E-11</v>
      </c>
      <c r="J213">
        <f t="shared" si="41"/>
        <v>2.6769397465454116E-4</v>
      </c>
      <c r="K213">
        <f t="shared" si="42"/>
        <v>6.1102154212764422E-6</v>
      </c>
      <c r="L213">
        <f t="shared" si="43"/>
        <v>1.2584797612723536E-11</v>
      </c>
      <c r="M213">
        <f t="shared" si="44"/>
        <v>2.7380420266061523E-4</v>
      </c>
      <c r="N213" s="25">
        <f t="shared" si="45"/>
        <v>3731.2503255167808</v>
      </c>
      <c r="O213" s="28">
        <f t="shared" si="46"/>
        <v>9.3281258137919512</v>
      </c>
      <c r="P213" s="1">
        <f t="shared" si="47"/>
        <v>3.2150046356010389</v>
      </c>
    </row>
    <row r="214" spans="1:16" x14ac:dyDescent="0.15">
      <c r="A214" t="s">
        <v>298</v>
      </c>
      <c r="B214" s="31">
        <v>5.09</v>
      </c>
      <c r="C214">
        <f t="shared" si="36"/>
        <v>8.128305161640983E-6</v>
      </c>
      <c r="D214">
        <f>DIC!O213</f>
        <v>8.4439729476697156E-5</v>
      </c>
      <c r="E214" s="31">
        <v>11.616354166666699</v>
      </c>
      <c r="F214">
        <f t="shared" si="37"/>
        <v>284.7663541666667</v>
      </c>
      <c r="G214">
        <f t="shared" si="38"/>
        <v>5.0813573984462311E-2</v>
      </c>
      <c r="H214">
        <f t="shared" si="39"/>
        <v>3.5562940429351812E-7</v>
      </c>
      <c r="I214">
        <f t="shared" si="40"/>
        <v>3.3980379300947643E-11</v>
      </c>
      <c r="J214">
        <f t="shared" si="41"/>
        <v>8.0900172360347974E-5</v>
      </c>
      <c r="K214">
        <f t="shared" si="42"/>
        <v>3.5395423192926927E-6</v>
      </c>
      <c r="L214">
        <f t="shared" si="43"/>
        <v>1.4797056479734812E-11</v>
      </c>
      <c r="M214">
        <f t="shared" si="44"/>
        <v>8.4439729476697156E-5</v>
      </c>
      <c r="N214" s="25">
        <f t="shared" si="45"/>
        <v>1592.0976624294424</v>
      </c>
      <c r="O214" s="28">
        <f t="shared" si="46"/>
        <v>3.9802441560736059</v>
      </c>
      <c r="P214" s="1">
        <f t="shared" si="47"/>
        <v>0.97161107004777925</v>
      </c>
    </row>
    <row r="215" spans="1:16" x14ac:dyDescent="0.15">
      <c r="A215" t="s">
        <v>299</v>
      </c>
      <c r="B215" s="31">
        <v>4.8899999999999997</v>
      </c>
      <c r="C215">
        <f t="shared" si="36"/>
        <v>1.2882495516931347E-5</v>
      </c>
      <c r="D215">
        <f>DIC!O214</f>
        <v>1.1539507531842789E-4</v>
      </c>
      <c r="E215" s="31">
        <v>2</v>
      </c>
      <c r="F215">
        <f t="shared" si="37"/>
        <v>275.14999999999998</v>
      </c>
      <c r="G215">
        <f t="shared" si="38"/>
        <v>7.1743772542911699E-2</v>
      </c>
      <c r="H215">
        <f t="shared" si="39"/>
        <v>2.8081346341222542E-7</v>
      </c>
      <c r="I215">
        <f t="shared" si="40"/>
        <v>2.5339014130362006E-11</v>
      </c>
      <c r="J215">
        <f t="shared" si="41"/>
        <v>1.1293334223998707E-4</v>
      </c>
      <c r="K215">
        <f t="shared" si="42"/>
        <v>2.4617282363846792E-6</v>
      </c>
      <c r="L215">
        <f t="shared" si="43"/>
        <v>4.842056143926461E-12</v>
      </c>
      <c r="M215">
        <f t="shared" si="44"/>
        <v>1.1539507531842789E-4</v>
      </c>
      <c r="N215" s="25">
        <f t="shared" si="45"/>
        <v>1574.1204879132733</v>
      </c>
      <c r="O215" s="28">
        <f t="shared" si="46"/>
        <v>3.9353012197831831</v>
      </c>
      <c r="P215" s="1">
        <f t="shared" si="47"/>
        <v>1.3563294403022446</v>
      </c>
    </row>
    <row r="216" spans="1:16" x14ac:dyDescent="0.15">
      <c r="A216" t="s">
        <v>300</v>
      </c>
      <c r="B216" s="31">
        <v>4.5199999999999996</v>
      </c>
      <c r="C216">
        <f t="shared" si="36"/>
        <v>3.0199517204020178E-5</v>
      </c>
      <c r="D216">
        <f>DIC!O215</f>
        <v>1.7221001612268284E-4</v>
      </c>
      <c r="E216" s="31">
        <v>2</v>
      </c>
      <c r="F216">
        <f t="shared" si="37"/>
        <v>275.14999999999998</v>
      </c>
      <c r="G216">
        <f t="shared" si="38"/>
        <v>7.1743772542911699E-2</v>
      </c>
      <c r="H216">
        <f t="shared" si="39"/>
        <v>2.8081346341222542E-7</v>
      </c>
      <c r="I216">
        <f t="shared" si="40"/>
        <v>2.5339014130362006E-11</v>
      </c>
      <c r="J216">
        <f t="shared" si="41"/>
        <v>1.7062345422507073E-4</v>
      </c>
      <c r="K216">
        <f t="shared" si="42"/>
        <v>1.5865605664027359E-6</v>
      </c>
      <c r="L216">
        <f t="shared" si="43"/>
        <v>1.3312093812348222E-12</v>
      </c>
      <c r="M216">
        <f t="shared" si="44"/>
        <v>1.7221001612268287E-4</v>
      </c>
      <c r="N216" s="25">
        <f t="shared" si="45"/>
        <v>2378.2336525865944</v>
      </c>
      <c r="O216" s="28">
        <f t="shared" si="46"/>
        <v>5.9455841314664859</v>
      </c>
      <c r="P216" s="1">
        <f t="shared" si="47"/>
        <v>2.0491876852430995</v>
      </c>
    </row>
    <row r="217" spans="1:16" x14ac:dyDescent="0.15">
      <c r="A217" t="s">
        <v>301</v>
      </c>
      <c r="B217" s="31">
        <v>5.43</v>
      </c>
      <c r="C217">
        <f t="shared" si="36"/>
        <v>3.7153522909717272E-6</v>
      </c>
      <c r="D217">
        <f>DIC!O216</f>
        <v>1.4162286344514581E-4</v>
      </c>
      <c r="E217" s="31">
        <v>8.2342916666666692</v>
      </c>
      <c r="F217">
        <f t="shared" si="37"/>
        <v>281.38429166666663</v>
      </c>
      <c r="G217">
        <f t="shared" si="38"/>
        <v>5.7043336234786371E-2</v>
      </c>
      <c r="H217">
        <f t="shared" si="39"/>
        <v>3.2974370702650725E-7</v>
      </c>
      <c r="I217">
        <f t="shared" si="40"/>
        <v>3.0844936668056776E-11</v>
      </c>
      <c r="J217">
        <f t="shared" si="41"/>
        <v>1.3007811787935192E-4</v>
      </c>
      <c r="K217">
        <f t="shared" si="42"/>
        <v>1.1544649721857263E-5</v>
      </c>
      <c r="L217">
        <f t="shared" si="43"/>
        <v>9.5843936627730228E-11</v>
      </c>
      <c r="M217">
        <f t="shared" si="44"/>
        <v>1.4162286344514581E-4</v>
      </c>
      <c r="N217" s="25">
        <f t="shared" si="45"/>
        <v>2280.3385367216165</v>
      </c>
      <c r="O217" s="28">
        <f t="shared" si="46"/>
        <v>5.7008463418040414</v>
      </c>
      <c r="P217" s="1">
        <f t="shared" si="47"/>
        <v>1.5622381957310165</v>
      </c>
    </row>
    <row r="218" spans="1:16" x14ac:dyDescent="0.15">
      <c r="A218" t="s">
        <v>302</v>
      </c>
      <c r="B218" s="31">
        <v>5.0999999999999996</v>
      </c>
      <c r="C218">
        <f t="shared" si="36"/>
        <v>7.9432823472428065E-6</v>
      </c>
      <c r="D218">
        <f>DIC!O217</f>
        <v>1.2588698972901849E-4</v>
      </c>
      <c r="E218" s="31">
        <v>2</v>
      </c>
      <c r="F218">
        <f t="shared" si="37"/>
        <v>275.14999999999998</v>
      </c>
      <c r="G218">
        <f t="shared" si="38"/>
        <v>7.1743772542911699E-2</v>
      </c>
      <c r="H218">
        <f t="shared" si="39"/>
        <v>2.8081346341222542E-7</v>
      </c>
      <c r="I218">
        <f t="shared" si="40"/>
        <v>2.5339014130362006E-11</v>
      </c>
      <c r="J218">
        <f t="shared" si="41"/>
        <v>1.2158853901584701E-4</v>
      </c>
      <c r="K218">
        <f t="shared" si="42"/>
        <v>4.2984370011880693E-6</v>
      </c>
      <c r="L218">
        <f t="shared" si="43"/>
        <v>1.371198342828415E-11</v>
      </c>
      <c r="M218">
        <f t="shared" si="44"/>
        <v>1.2588698972901852E-4</v>
      </c>
      <c r="N218" s="25">
        <f t="shared" si="45"/>
        <v>1694.7608789755507</v>
      </c>
      <c r="O218" s="28">
        <f t="shared" si="46"/>
        <v>4.2369021974388765</v>
      </c>
      <c r="P218" s="1">
        <f t="shared" si="47"/>
        <v>1.4602783535803225</v>
      </c>
    </row>
    <row r="219" spans="1:16" x14ac:dyDescent="0.15">
      <c r="A219" t="s">
        <v>303</v>
      </c>
      <c r="B219" s="31">
        <v>5.69</v>
      </c>
      <c r="C219">
        <f t="shared" si="36"/>
        <v>2.0417379446695244E-6</v>
      </c>
      <c r="D219">
        <f>DIC!O218</f>
        <v>2.0456635830965505E-4</v>
      </c>
      <c r="E219" s="31">
        <v>14.88625</v>
      </c>
      <c r="F219">
        <f t="shared" si="37"/>
        <v>288.03625</v>
      </c>
      <c r="G219">
        <f t="shared" si="38"/>
        <v>4.5690478781347958E-2</v>
      </c>
      <c r="H219">
        <f t="shared" si="39"/>
        <v>3.7977082567196447E-7</v>
      </c>
      <c r="I219">
        <f t="shared" si="40"/>
        <v>3.7080267902080778E-11</v>
      </c>
      <c r="J219">
        <f t="shared" si="41"/>
        <v>1.7248325153750911E-4</v>
      </c>
      <c r="K219">
        <f t="shared" si="42"/>
        <v>3.2082524117260045E-5</v>
      </c>
      <c r="L219">
        <f t="shared" si="43"/>
        <v>5.8265488592637352E-10</v>
      </c>
      <c r="M219">
        <f t="shared" si="44"/>
        <v>2.0456635830965508E-4</v>
      </c>
      <c r="N219" s="25">
        <f t="shared" si="45"/>
        <v>3775.0370785766695</v>
      </c>
      <c r="O219" s="28">
        <f t="shared" si="46"/>
        <v>9.4375926964416745</v>
      </c>
      <c r="P219" s="1">
        <f t="shared" si="47"/>
        <v>2.0715238509654843</v>
      </c>
    </row>
    <row r="220" spans="1:16" x14ac:dyDescent="0.15">
      <c r="A220" t="s">
        <v>304</v>
      </c>
      <c r="B220" s="31">
        <v>5.33</v>
      </c>
      <c r="C220">
        <f t="shared" si="36"/>
        <v>4.6773514128719787E-6</v>
      </c>
      <c r="D220">
        <f>DIC!O219</f>
        <v>1.1592093637547119E-4</v>
      </c>
      <c r="E220" s="31">
        <v>12.160520833333299</v>
      </c>
      <c r="F220">
        <f t="shared" si="37"/>
        <v>285.31052083333327</v>
      </c>
      <c r="G220">
        <f t="shared" si="38"/>
        <v>4.9904252461404598E-2</v>
      </c>
      <c r="H220">
        <f t="shared" si="39"/>
        <v>3.5971647481107446E-7</v>
      </c>
      <c r="I220">
        <f t="shared" si="40"/>
        <v>3.4492273816407686E-11</v>
      </c>
      <c r="J220">
        <f t="shared" si="41"/>
        <v>1.076425178472792E-4</v>
      </c>
      <c r="K220">
        <f t="shared" si="42"/>
        <v>8.2783574809565502E-6</v>
      </c>
      <c r="L220">
        <f t="shared" si="43"/>
        <v>6.1047235449844882E-11</v>
      </c>
      <c r="M220">
        <f t="shared" si="44"/>
        <v>1.1592093637547119E-4</v>
      </c>
      <c r="N220" s="25">
        <f t="shared" si="45"/>
        <v>2156.9808691259077</v>
      </c>
      <c r="O220" s="28">
        <f t="shared" si="46"/>
        <v>5.3924521728147692</v>
      </c>
      <c r="P220" s="1">
        <f t="shared" si="47"/>
        <v>1.2927866393458232</v>
      </c>
    </row>
    <row r="221" spans="1:16" x14ac:dyDescent="0.15">
      <c r="A221" t="s">
        <v>305</v>
      </c>
      <c r="B221" s="31">
        <v>5.0199999999999996</v>
      </c>
      <c r="C221">
        <f t="shared" si="36"/>
        <v>9.5499258602143587E-6</v>
      </c>
      <c r="D221">
        <f>DIC!O220</f>
        <v>1.4996760086955632E-4</v>
      </c>
      <c r="E221" s="31">
        <v>2</v>
      </c>
      <c r="F221">
        <f t="shared" si="37"/>
        <v>275.14999999999998</v>
      </c>
      <c r="G221">
        <f t="shared" si="38"/>
        <v>7.1743772542911699E-2</v>
      </c>
      <c r="H221">
        <f t="shared" si="39"/>
        <v>2.8081346341222542E-7</v>
      </c>
      <c r="I221">
        <f t="shared" si="40"/>
        <v>2.5339014130362006E-11</v>
      </c>
      <c r="J221">
        <f t="shared" si="41"/>
        <v>1.4568378979892284E-4</v>
      </c>
      <c r="K221">
        <f t="shared" si="42"/>
        <v>4.2837997043398925E-6</v>
      </c>
      <c r="L221">
        <f t="shared" si="43"/>
        <v>1.1366293605704774E-11</v>
      </c>
      <c r="M221">
        <f t="shared" si="44"/>
        <v>1.4996760086955632E-4</v>
      </c>
      <c r="N221" s="25">
        <f t="shared" si="45"/>
        <v>2030.6123393746241</v>
      </c>
      <c r="O221" s="28">
        <f t="shared" si="46"/>
        <v>5.0765308484365601</v>
      </c>
      <c r="P221" s="1">
        <f t="shared" si="47"/>
        <v>1.7496623154850635</v>
      </c>
    </row>
    <row r="222" spans="1:16" x14ac:dyDescent="0.15">
      <c r="A222" t="s">
        <v>306</v>
      </c>
      <c r="B222" s="31">
        <v>4.91</v>
      </c>
      <c r="C222">
        <f t="shared" si="36"/>
        <v>1.2302687708123802E-5</v>
      </c>
      <c r="D222">
        <f>DIC!O221</f>
        <v>1.8048558050142525E-4</v>
      </c>
      <c r="E222" s="31">
        <v>2</v>
      </c>
      <c r="F222">
        <f t="shared" si="37"/>
        <v>275.14999999999998</v>
      </c>
      <c r="G222">
        <f t="shared" si="38"/>
        <v>7.1743772542911699E-2</v>
      </c>
      <c r="H222">
        <f t="shared" si="39"/>
        <v>2.8081346341222542E-7</v>
      </c>
      <c r="I222">
        <f t="shared" si="40"/>
        <v>2.5339014130362006E-11</v>
      </c>
      <c r="J222">
        <f t="shared" si="41"/>
        <v>1.7645785544112265E-4</v>
      </c>
      <c r="K222">
        <f t="shared" si="42"/>
        <v>4.0277167646867182E-6</v>
      </c>
      <c r="L222">
        <f t="shared" si="43"/>
        <v>8.295615920259502E-12</v>
      </c>
      <c r="M222">
        <f t="shared" si="44"/>
        <v>1.8048558050142531E-4</v>
      </c>
      <c r="N222" s="25">
        <f t="shared" si="45"/>
        <v>2459.5564072906664</v>
      </c>
      <c r="O222" s="28">
        <f t="shared" si="46"/>
        <v>6.1488910182266663</v>
      </c>
      <c r="P222" s="1">
        <f t="shared" si="47"/>
        <v>2.119258843847883</v>
      </c>
    </row>
    <row r="223" spans="1:16" x14ac:dyDescent="0.15">
      <c r="A223" t="s">
        <v>307</v>
      </c>
      <c r="B223" s="31">
        <v>4.92</v>
      </c>
      <c r="C223">
        <f t="shared" si="36"/>
        <v>1.2022644346174118E-5</v>
      </c>
      <c r="D223">
        <f>DIC!O222</f>
        <v>9.7134931174650471E-5</v>
      </c>
      <c r="E223" s="31">
        <v>2.4284062500000001</v>
      </c>
      <c r="F223">
        <f t="shared" si="37"/>
        <v>275.57840625</v>
      </c>
      <c r="G223">
        <f t="shared" si="38"/>
        <v>7.057317402232717E-2</v>
      </c>
      <c r="H223">
        <f t="shared" si="39"/>
        <v>2.8418979876322143E-7</v>
      </c>
      <c r="I223">
        <f t="shared" si="40"/>
        <v>2.5703730257288129E-11</v>
      </c>
      <c r="J223">
        <f t="shared" si="41"/>
        <v>9.4891883622951335E-5</v>
      </c>
      <c r="K223">
        <f t="shared" si="42"/>
        <v>2.2430427562012331E-6</v>
      </c>
      <c r="L223">
        <f t="shared" si="43"/>
        <v>4.7954979204976312E-12</v>
      </c>
      <c r="M223">
        <f t="shared" si="44"/>
        <v>9.7134931174650484E-5</v>
      </c>
      <c r="N223" s="25">
        <f t="shared" si="45"/>
        <v>1344.5885768568446</v>
      </c>
      <c r="O223" s="28">
        <f t="shared" si="46"/>
        <v>3.3614714421421117</v>
      </c>
      <c r="P223" s="1">
        <f t="shared" si="47"/>
        <v>1.1396515223116455</v>
      </c>
    </row>
    <row r="224" spans="1:16" x14ac:dyDescent="0.15">
      <c r="A224" t="s">
        <v>308</v>
      </c>
      <c r="B224" s="31">
        <v>5.08</v>
      </c>
      <c r="C224">
        <f t="shared" si="36"/>
        <v>8.3176377110266992E-6</v>
      </c>
      <c r="D224">
        <f>DIC!O223</f>
        <v>1.0425459441600155E-4</v>
      </c>
      <c r="E224" s="31">
        <v>2</v>
      </c>
      <c r="F224">
        <f t="shared" si="37"/>
        <v>275.14999999999998</v>
      </c>
      <c r="G224">
        <f t="shared" si="38"/>
        <v>7.1743772542911699E-2</v>
      </c>
      <c r="H224">
        <f t="shared" si="39"/>
        <v>2.8081346341222542E-7</v>
      </c>
      <c r="I224">
        <f t="shared" si="40"/>
        <v>2.5339014130362006E-11</v>
      </c>
      <c r="J224">
        <f t="shared" si="41"/>
        <v>1.008497742437188E-4</v>
      </c>
      <c r="K224">
        <f t="shared" si="42"/>
        <v>3.4048097998036039E-6</v>
      </c>
      <c r="L224">
        <f t="shared" si="43"/>
        <v>1.0372479137200741E-11</v>
      </c>
      <c r="M224">
        <f t="shared" si="44"/>
        <v>1.0425459441600154E-4</v>
      </c>
      <c r="N224" s="25">
        <f t="shared" si="45"/>
        <v>1405.6937720050628</v>
      </c>
      <c r="O224" s="28">
        <f t="shared" si="46"/>
        <v>3.5142344300126571</v>
      </c>
      <c r="P224" s="1">
        <f t="shared" si="47"/>
        <v>1.2112057886670629</v>
      </c>
    </row>
    <row r="225" spans="1:16" x14ac:dyDescent="0.15">
      <c r="A225" t="s">
        <v>309</v>
      </c>
      <c r="B225" s="31">
        <v>4.9400000000000004</v>
      </c>
      <c r="C225">
        <f t="shared" si="36"/>
        <v>1.1481536214968799E-5</v>
      </c>
      <c r="D225">
        <f>DIC!O224</f>
        <v>1.4236154999313952E-4</v>
      </c>
      <c r="E225" s="31">
        <v>2</v>
      </c>
      <c r="F225">
        <f t="shared" si="37"/>
        <v>275.14999999999998</v>
      </c>
      <c r="G225">
        <f t="shared" si="38"/>
        <v>7.1743772542911699E-2</v>
      </c>
      <c r="H225">
        <f t="shared" si="39"/>
        <v>2.8081346341222542E-7</v>
      </c>
      <c r="I225">
        <f t="shared" si="40"/>
        <v>2.5339014130362006E-11</v>
      </c>
      <c r="J225">
        <f t="shared" si="41"/>
        <v>1.3896281359064821E-4</v>
      </c>
      <c r="K225">
        <f t="shared" si="42"/>
        <v>3.3987289017146073E-6</v>
      </c>
      <c r="L225">
        <f t="shared" si="43"/>
        <v>7.5007767299935488E-12</v>
      </c>
      <c r="M225">
        <f t="shared" si="44"/>
        <v>1.4236154999313955E-4</v>
      </c>
      <c r="N225" s="25">
        <f t="shared" si="45"/>
        <v>1936.9320662295972</v>
      </c>
      <c r="O225" s="28">
        <f t="shared" si="46"/>
        <v>4.8423301655739932</v>
      </c>
      <c r="P225" s="1">
        <f t="shared" si="47"/>
        <v>1.6689433912236851</v>
      </c>
    </row>
    <row r="226" spans="1:16" x14ac:dyDescent="0.15">
      <c r="A226" t="s">
        <v>310</v>
      </c>
      <c r="B226" s="31">
        <v>4.9400000000000004</v>
      </c>
      <c r="C226">
        <f t="shared" si="36"/>
        <v>1.1481536214968799E-5</v>
      </c>
      <c r="D226">
        <f>DIC!O225</f>
        <v>1.085471705587493E-4</v>
      </c>
      <c r="E226" s="31">
        <v>6.2139166666666696</v>
      </c>
      <c r="F226">
        <f t="shared" si="37"/>
        <v>279.36391666666663</v>
      </c>
      <c r="G226">
        <f t="shared" si="38"/>
        <v>6.1299897696248412E-2</v>
      </c>
      <c r="H226">
        <f t="shared" si="39"/>
        <v>3.139855781027457E-7</v>
      </c>
      <c r="I226">
        <f t="shared" si="40"/>
        <v>2.9016982727069382E-11</v>
      </c>
      <c r="J226">
        <f t="shared" si="41"/>
        <v>1.0565774094812852E-4</v>
      </c>
      <c r="K226">
        <f t="shared" si="42"/>
        <v>2.889422308260205E-6</v>
      </c>
      <c r="L226">
        <f t="shared" si="43"/>
        <v>7.3023605587454194E-12</v>
      </c>
      <c r="M226">
        <f t="shared" si="44"/>
        <v>1.0854717055874927E-4</v>
      </c>
      <c r="N226" s="25">
        <f t="shared" si="45"/>
        <v>1723.6201840283795</v>
      </c>
      <c r="O226" s="28">
        <f t="shared" si="46"/>
        <v>4.3090504600709485</v>
      </c>
      <c r="P226" s="1">
        <f t="shared" si="47"/>
        <v>1.2689494687870235</v>
      </c>
    </row>
    <row r="227" spans="1:16" x14ac:dyDescent="0.15">
      <c r="A227" t="s">
        <v>311</v>
      </c>
      <c r="B227" s="31">
        <v>4.9800000000000004</v>
      </c>
      <c r="C227">
        <f t="shared" si="36"/>
        <v>1.0471285480508972E-5</v>
      </c>
      <c r="D227">
        <f>DIC!O226</f>
        <v>1.3655241524772701E-4</v>
      </c>
      <c r="E227" s="31">
        <v>13.6297916666667</v>
      </c>
      <c r="F227">
        <f t="shared" si="37"/>
        <v>286.77979166666665</v>
      </c>
      <c r="G227">
        <f t="shared" si="38"/>
        <v>4.7564928818054034E-2</v>
      </c>
      <c r="H227">
        <f t="shared" si="39"/>
        <v>3.7061879360735013E-7</v>
      </c>
      <c r="I227">
        <f t="shared" si="40"/>
        <v>3.5882797844888988E-11</v>
      </c>
      <c r="J227">
        <f t="shared" si="41"/>
        <v>1.3188450289387173E-4</v>
      </c>
      <c r="K227">
        <f t="shared" si="42"/>
        <v>4.6678963579986349E-6</v>
      </c>
      <c r="L227">
        <f t="shared" si="43"/>
        <v>1.5995856639257354E-11</v>
      </c>
      <c r="M227">
        <f t="shared" si="44"/>
        <v>1.3655241524772698E-4</v>
      </c>
      <c r="N227" s="25">
        <f t="shared" si="45"/>
        <v>2772.7257492249805</v>
      </c>
      <c r="O227" s="28">
        <f t="shared" si="46"/>
        <v>6.9318143730624513</v>
      </c>
      <c r="P227" s="1">
        <f t="shared" si="47"/>
        <v>1.5839328797553995</v>
      </c>
    </row>
    <row r="228" spans="1:16" x14ac:dyDescent="0.15">
      <c r="A228" t="s">
        <v>312</v>
      </c>
      <c r="B228" s="31">
        <v>4.96</v>
      </c>
      <c r="C228">
        <f t="shared" si="36"/>
        <v>1.0964781961431843E-5</v>
      </c>
      <c r="D228">
        <f>DIC!O227</f>
        <v>1.6584136042026423E-4</v>
      </c>
      <c r="E228" s="31">
        <v>17.422916666666701</v>
      </c>
      <c r="F228">
        <f t="shared" si="37"/>
        <v>290.57291666666669</v>
      </c>
      <c r="G228">
        <f t="shared" si="38"/>
        <v>4.2226907487067498E-2</v>
      </c>
      <c r="H228">
        <f t="shared" si="39"/>
        <v>3.976905846668852E-7</v>
      </c>
      <c r="I228">
        <f t="shared" si="40"/>
        <v>3.9514999217307971E-11</v>
      </c>
      <c r="J228">
        <f t="shared" si="41"/>
        <v>1.6003683357234866E-4</v>
      </c>
      <c r="K228">
        <f t="shared" si="42"/>
        <v>5.8045059295746541E-6</v>
      </c>
      <c r="L228">
        <f t="shared" si="43"/>
        <v>2.0918340927415043E-11</v>
      </c>
      <c r="M228">
        <f t="shared" si="44"/>
        <v>1.6584136042026423E-4</v>
      </c>
      <c r="N228" s="25">
        <f t="shared" si="45"/>
        <v>3789.9255023911442</v>
      </c>
      <c r="O228" s="28">
        <f t="shared" si="46"/>
        <v>9.4748137559778609</v>
      </c>
      <c r="P228" s="1">
        <f t="shared" si="47"/>
        <v>1.9220423712039074</v>
      </c>
    </row>
    <row r="229" spans="1:16" x14ac:dyDescent="0.15">
      <c r="A229" t="s">
        <v>313</v>
      </c>
      <c r="B229" s="31">
        <v>5.64</v>
      </c>
      <c r="C229">
        <f t="shared" si="36"/>
        <v>2.2908676527677705E-6</v>
      </c>
      <c r="D229">
        <f>DIC!O228</f>
        <v>1.5333734721159612E-4</v>
      </c>
      <c r="E229" s="31">
        <v>2</v>
      </c>
      <c r="F229">
        <f t="shared" si="37"/>
        <v>275.14999999999998</v>
      </c>
      <c r="G229">
        <f t="shared" si="38"/>
        <v>7.1743772542911699E-2</v>
      </c>
      <c r="H229">
        <f t="shared" si="39"/>
        <v>2.8081346341222542E-7</v>
      </c>
      <c r="I229">
        <f t="shared" si="40"/>
        <v>2.5339014130362006E-11</v>
      </c>
      <c r="J229">
        <f t="shared" si="41"/>
        <v>1.3659358550034071E-4</v>
      </c>
      <c r="K229">
        <f t="shared" si="42"/>
        <v>1.6743576512550707E-5</v>
      </c>
      <c r="L229">
        <f t="shared" si="43"/>
        <v>1.8519870466184819E-10</v>
      </c>
      <c r="M229">
        <f t="shared" si="44"/>
        <v>1.5333734721159606E-4</v>
      </c>
      <c r="N229" s="25">
        <f t="shared" si="45"/>
        <v>1903.9085994347558</v>
      </c>
      <c r="O229" s="28">
        <f t="shared" si="46"/>
        <v>4.7597714985868897</v>
      </c>
      <c r="P229" s="1">
        <f t="shared" si="47"/>
        <v>1.6404889618590919</v>
      </c>
    </row>
    <row r="230" spans="1:16" x14ac:dyDescent="0.15">
      <c r="A230" t="s">
        <v>314</v>
      </c>
      <c r="B230" s="31">
        <v>4.82</v>
      </c>
      <c r="C230">
        <f t="shared" si="36"/>
        <v>1.5135612484362051E-5</v>
      </c>
      <c r="D230">
        <f>DIC!O229</f>
        <v>1.3267817181379188E-4</v>
      </c>
      <c r="E230" s="31">
        <v>2</v>
      </c>
      <c r="F230">
        <f t="shared" si="37"/>
        <v>275.14999999999998</v>
      </c>
      <c r="G230">
        <f t="shared" si="38"/>
        <v>7.1743772542911699E-2</v>
      </c>
      <c r="H230">
        <f t="shared" si="39"/>
        <v>2.8081346341222542E-7</v>
      </c>
      <c r="I230">
        <f t="shared" si="40"/>
        <v>2.5339014130362006E-11</v>
      </c>
      <c r="J230">
        <f t="shared" si="41"/>
        <v>1.3026140684435021E-4</v>
      </c>
      <c r="K230">
        <f t="shared" si="42"/>
        <v>2.4167609234647184E-6</v>
      </c>
      <c r="L230">
        <f t="shared" si="43"/>
        <v>4.045976946928974E-12</v>
      </c>
      <c r="M230">
        <f t="shared" si="44"/>
        <v>1.3267817181379188E-4</v>
      </c>
      <c r="N230" s="25">
        <f t="shared" si="45"/>
        <v>1815.6475778638167</v>
      </c>
      <c r="O230" s="28">
        <f t="shared" si="46"/>
        <v>4.5391189446595419</v>
      </c>
      <c r="P230" s="1">
        <f t="shared" si="47"/>
        <v>1.5644394962006458</v>
      </c>
    </row>
    <row r="231" spans="1:16" x14ac:dyDescent="0.15">
      <c r="A231" t="s">
        <v>315</v>
      </c>
      <c r="B231" s="31">
        <v>5.16</v>
      </c>
      <c r="C231">
        <f t="shared" si="36"/>
        <v>6.9183097091893498E-6</v>
      </c>
      <c r="D231">
        <f>DIC!O230</f>
        <v>1.1924668021091172E-4</v>
      </c>
      <c r="E231" s="31">
        <v>2</v>
      </c>
      <c r="F231">
        <f t="shared" si="37"/>
        <v>275.14999999999998</v>
      </c>
      <c r="G231">
        <f t="shared" si="38"/>
        <v>7.1743772542911699E-2</v>
      </c>
      <c r="H231">
        <f t="shared" si="39"/>
        <v>2.8081346341222542E-7</v>
      </c>
      <c r="I231">
        <f t="shared" si="40"/>
        <v>2.5339014130362006E-11</v>
      </c>
      <c r="J231">
        <f t="shared" si="41"/>
        <v>1.1459525387332606E-4</v>
      </c>
      <c r="K231">
        <f t="shared" si="42"/>
        <v>4.6514093013252215E-6</v>
      </c>
      <c r="L231">
        <f t="shared" si="43"/>
        <v>1.7036260440295825E-11</v>
      </c>
      <c r="M231">
        <f t="shared" si="44"/>
        <v>1.1924668021091172E-4</v>
      </c>
      <c r="N231" s="25">
        <f t="shared" si="45"/>
        <v>1597.2850299276336</v>
      </c>
      <c r="O231" s="28">
        <f t="shared" si="46"/>
        <v>3.9932125748190841</v>
      </c>
      <c r="P231" s="1">
        <f t="shared" si="47"/>
        <v>1.376288999018646</v>
      </c>
    </row>
    <row r="232" spans="1:16" x14ac:dyDescent="0.15">
      <c r="A232" t="s">
        <v>316</v>
      </c>
      <c r="B232" s="31">
        <v>4.7300000000000004</v>
      </c>
      <c r="C232">
        <f t="shared" si="36"/>
        <v>1.8620871366628623E-5</v>
      </c>
      <c r="D232">
        <f>DIC!O231</f>
        <v>1.3745946497444172E-4</v>
      </c>
      <c r="E232" s="31">
        <v>2</v>
      </c>
      <c r="F232">
        <f t="shared" si="37"/>
        <v>275.14999999999998</v>
      </c>
      <c r="G232">
        <f t="shared" si="38"/>
        <v>7.1743772542911699E-2</v>
      </c>
      <c r="H232">
        <f t="shared" si="39"/>
        <v>2.8081346341222542E-7</v>
      </c>
      <c r="I232">
        <f t="shared" si="40"/>
        <v>2.5339014130362006E-11</v>
      </c>
      <c r="J232">
        <f t="shared" si="41"/>
        <v>1.3541729145753335E-4</v>
      </c>
      <c r="K232">
        <f t="shared" si="42"/>
        <v>2.0421707379517564E-6</v>
      </c>
      <c r="L232">
        <f t="shared" si="43"/>
        <v>2.7789565894488147E-12</v>
      </c>
      <c r="M232">
        <f t="shared" si="44"/>
        <v>1.3745946497444169E-4</v>
      </c>
      <c r="N232" s="25">
        <f t="shared" si="45"/>
        <v>1887.5128343235222</v>
      </c>
      <c r="O232" s="28">
        <f t="shared" si="46"/>
        <v>4.7187820858088054</v>
      </c>
      <c r="P232" s="1">
        <f t="shared" si="47"/>
        <v>1.6263616704049757</v>
      </c>
    </row>
    <row r="233" spans="1:16" x14ac:dyDescent="0.15">
      <c r="A233" t="s">
        <v>317</v>
      </c>
      <c r="B233" s="31">
        <v>5.21</v>
      </c>
      <c r="C233">
        <f t="shared" si="36"/>
        <v>6.1659500186148109E-6</v>
      </c>
      <c r="D233">
        <f>DIC!O232</f>
        <v>1.2291465802708333E-4</v>
      </c>
      <c r="E233" s="31">
        <v>2</v>
      </c>
      <c r="F233">
        <f t="shared" si="37"/>
        <v>275.14999999999998</v>
      </c>
      <c r="G233">
        <f t="shared" si="38"/>
        <v>7.1743772542911699E-2</v>
      </c>
      <c r="H233">
        <f t="shared" si="39"/>
        <v>2.8081346341222542E-7</v>
      </c>
      <c r="I233">
        <f t="shared" si="40"/>
        <v>2.5339014130362006E-11</v>
      </c>
      <c r="J233">
        <f t="shared" si="41"/>
        <v>1.1756061850221658E-4</v>
      </c>
      <c r="K233">
        <f t="shared" si="42"/>
        <v>5.3540175224947923E-6</v>
      </c>
      <c r="L233">
        <f t="shared" si="43"/>
        <v>2.2002371937354556E-11</v>
      </c>
      <c r="M233">
        <f t="shared" si="44"/>
        <v>1.229146580270833E-4</v>
      </c>
      <c r="N233" s="25">
        <f t="shared" si="45"/>
        <v>1638.6177410994203</v>
      </c>
      <c r="O233" s="28">
        <f t="shared" si="46"/>
        <v>4.096544352748551</v>
      </c>
      <c r="P233" s="1">
        <f t="shared" si="47"/>
        <v>1.4119030282116212</v>
      </c>
    </row>
    <row r="234" spans="1:16" x14ac:dyDescent="0.15">
      <c r="A234" t="s">
        <v>318</v>
      </c>
      <c r="B234" s="31">
        <v>5.2</v>
      </c>
      <c r="C234">
        <f t="shared" si="36"/>
        <v>6.3095734448019212E-6</v>
      </c>
      <c r="D234">
        <f>DIC!O233</f>
        <v>7.7105781209023822E-5</v>
      </c>
      <c r="E234" s="31">
        <v>8.5362291666666703</v>
      </c>
      <c r="F234">
        <f t="shared" si="37"/>
        <v>281.68622916666664</v>
      </c>
      <c r="G234">
        <f t="shared" si="38"/>
        <v>5.6443693193751719E-2</v>
      </c>
      <c r="H234">
        <f t="shared" si="39"/>
        <v>3.3208323147108596E-7</v>
      </c>
      <c r="I234">
        <f t="shared" si="40"/>
        <v>3.1121249635600544E-11</v>
      </c>
      <c r="J234">
        <f t="shared" si="41"/>
        <v>7.3250469467000558E-5</v>
      </c>
      <c r="K234">
        <f t="shared" si="42"/>
        <v>3.85529272623267E-6</v>
      </c>
      <c r="L234">
        <f t="shared" si="43"/>
        <v>1.9015790592032411E-11</v>
      </c>
      <c r="M234">
        <f t="shared" si="44"/>
        <v>7.7105781209023822E-5</v>
      </c>
      <c r="N234" s="25">
        <f t="shared" si="45"/>
        <v>1297.7618104392457</v>
      </c>
      <c r="O234" s="28">
        <f t="shared" si="46"/>
        <v>3.2444045260981142</v>
      </c>
      <c r="P234" s="1">
        <f t="shared" si="47"/>
        <v>0.87973813829867675</v>
      </c>
    </row>
    <row r="235" spans="1:16" x14ac:dyDescent="0.15">
      <c r="A235" t="s">
        <v>319</v>
      </c>
      <c r="B235" s="31">
        <v>4.8600000000000003</v>
      </c>
      <c r="C235">
        <f t="shared" si="36"/>
        <v>1.3803842646028827E-5</v>
      </c>
      <c r="D235">
        <f>DIC!O234</f>
        <v>1.0325249437608475E-4</v>
      </c>
      <c r="E235" s="31">
        <v>2</v>
      </c>
      <c r="F235">
        <f t="shared" si="37"/>
        <v>275.14999999999998</v>
      </c>
      <c r="G235">
        <f t="shared" si="38"/>
        <v>7.1743772542911699E-2</v>
      </c>
      <c r="H235">
        <f t="shared" si="39"/>
        <v>2.8081346341222542E-7</v>
      </c>
      <c r="I235">
        <f t="shared" si="40"/>
        <v>2.5339014130362006E-11</v>
      </c>
      <c r="J235">
        <f t="shared" si="41"/>
        <v>1.0119388943114838E-4</v>
      </c>
      <c r="K235">
        <f t="shared" si="42"/>
        <v>2.058601166066583E-6</v>
      </c>
      <c r="L235">
        <f t="shared" si="43"/>
        <v>3.7788697954150759E-12</v>
      </c>
      <c r="M235">
        <f t="shared" si="44"/>
        <v>1.0325249437608475E-4</v>
      </c>
      <c r="N235" s="25">
        <f t="shared" si="45"/>
        <v>1410.490218793859</v>
      </c>
      <c r="O235" s="28">
        <f t="shared" si="46"/>
        <v>3.5262255469846475</v>
      </c>
      <c r="P235" s="1">
        <f t="shared" si="47"/>
        <v>1.215338612068092</v>
      </c>
    </row>
    <row r="236" spans="1:16" x14ac:dyDescent="0.15">
      <c r="A236" t="s">
        <v>320</v>
      </c>
      <c r="B236" s="31">
        <v>5.09</v>
      </c>
      <c r="C236">
        <f t="shared" si="36"/>
        <v>8.128305161640983E-6</v>
      </c>
      <c r="D236">
        <f>DIC!O235</f>
        <v>1.599255430868077E-4</v>
      </c>
      <c r="E236" s="31">
        <v>2</v>
      </c>
      <c r="F236">
        <f t="shared" si="37"/>
        <v>275.14999999999998</v>
      </c>
      <c r="G236">
        <f t="shared" si="38"/>
        <v>7.1743772542911699E-2</v>
      </c>
      <c r="H236">
        <f t="shared" si="39"/>
        <v>2.8081346341222542E-7</v>
      </c>
      <c r="I236">
        <f t="shared" si="40"/>
        <v>2.5339014130362006E-11</v>
      </c>
      <c r="J236">
        <f t="shared" si="41"/>
        <v>1.5458498565519677E-4</v>
      </c>
      <c r="K236">
        <f t="shared" si="42"/>
        <v>5.340540783117111E-6</v>
      </c>
      <c r="L236">
        <f t="shared" si="43"/>
        <v>1.6648493834335713E-11</v>
      </c>
      <c r="M236">
        <f t="shared" si="44"/>
        <v>1.599255430868077E-4</v>
      </c>
      <c r="N236" s="25">
        <f t="shared" si="45"/>
        <v>2154.6815866524962</v>
      </c>
      <c r="O236" s="28">
        <f t="shared" si="46"/>
        <v>5.3867039666312406</v>
      </c>
      <c r="P236" s="1">
        <f t="shared" si="47"/>
        <v>1.8565656777189132</v>
      </c>
    </row>
  </sheetData>
  <phoneticPr fontId="10" type="noConversion"/>
  <pageMargins left="0.75" right="0.75" top="1" bottom="1" header="0.5" footer="0.5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34"/>
  <sheetViews>
    <sheetView workbookViewId="0">
      <selection activeCell="J6" sqref="J6:J234"/>
    </sheetView>
  </sheetViews>
  <sheetFormatPr baseColWidth="10" defaultColWidth="8.83203125" defaultRowHeight="13" x14ac:dyDescent="0.15"/>
  <cols>
    <col min="1" max="1" width="14.6640625" bestFit="1" customWidth="1"/>
    <col min="2" max="2" width="8.83203125" customWidth="1"/>
    <col min="3" max="3" width="11.5" style="1" customWidth="1"/>
    <col min="4" max="4" width="12.5" bestFit="1" customWidth="1"/>
    <col min="5" max="5" width="12.5" style="1" bestFit="1" customWidth="1"/>
    <col min="6" max="6" width="12.5" bestFit="1" customWidth="1"/>
    <col min="7" max="7" width="12" bestFit="1" customWidth="1"/>
    <col min="12" max="12" width="17.6640625" customWidth="1"/>
    <col min="19" max="20" width="12.33203125" bestFit="1" customWidth="1"/>
  </cols>
  <sheetData>
    <row r="1" spans="1:20" ht="15" x14ac:dyDescent="0.2">
      <c r="C1" s="39" t="s">
        <v>72</v>
      </c>
    </row>
    <row r="3" spans="1:20" x14ac:dyDescent="0.15">
      <c r="A3" s="41"/>
      <c r="B3" s="21" t="s">
        <v>13</v>
      </c>
      <c r="C3" s="35" t="s">
        <v>4</v>
      </c>
      <c r="D3" s="21" t="s">
        <v>50</v>
      </c>
      <c r="E3" s="35" t="s">
        <v>50</v>
      </c>
      <c r="F3" s="21" t="s">
        <v>90</v>
      </c>
      <c r="G3" s="36" t="s">
        <v>85</v>
      </c>
      <c r="H3" s="41" t="s">
        <v>75</v>
      </c>
      <c r="I3" s="41" t="s">
        <v>78</v>
      </c>
      <c r="J3" s="21" t="s">
        <v>91</v>
      </c>
    </row>
    <row r="4" spans="1:20" x14ac:dyDescent="0.15">
      <c r="A4" s="3" t="s">
        <v>34</v>
      </c>
      <c r="B4" s="3" t="s">
        <v>83</v>
      </c>
      <c r="C4" s="2" t="s">
        <v>65</v>
      </c>
      <c r="D4" s="2" t="s">
        <v>79</v>
      </c>
      <c r="E4" s="2" t="s">
        <v>80</v>
      </c>
      <c r="F4" s="3" t="s">
        <v>65</v>
      </c>
      <c r="G4" s="2" t="s">
        <v>62</v>
      </c>
      <c r="H4" s="3" t="s">
        <v>82</v>
      </c>
      <c r="I4" s="3" t="s">
        <v>63</v>
      </c>
      <c r="J4" s="3" t="s">
        <v>81</v>
      </c>
    </row>
    <row r="5" spans="1:20" x14ac:dyDescent="0.15">
      <c r="C5" s="48"/>
      <c r="D5" s="6"/>
      <c r="E5" s="6"/>
      <c r="F5" s="4"/>
      <c r="H5" s="28"/>
      <c r="I5" s="25"/>
      <c r="J5" s="28"/>
      <c r="P5" s="25"/>
      <c r="Q5" s="1"/>
      <c r="R5" s="1"/>
      <c r="S5" s="28"/>
      <c r="T5" s="28"/>
    </row>
    <row r="6" spans="1:20" ht="14" x14ac:dyDescent="0.15">
      <c r="A6" s="43" t="s">
        <v>94</v>
      </c>
      <c r="B6">
        <f>'C-speciation'!F8</f>
        <v>275.14999999999998</v>
      </c>
      <c r="C6" s="48">
        <v>18.662268858512899</v>
      </c>
      <c r="D6" s="6">
        <f>(((C6/1000000)*((0.0013))*Volumes!B3/1000)*((Volumes!B3+Volumes!C3)/Volumes!C3))</f>
        <v>1.6085009529152265E-10</v>
      </c>
      <c r="E6" s="6">
        <f>(((Volumes!B3+Volumes!C3)/Volumes!C3)*(Volumes!C3/1000*(C6/1000000)))/(0.082057*308.15)</f>
        <v>1.6310936925157859E-8</v>
      </c>
      <c r="F6" s="4">
        <f>(D6+E6)*(1000/Volumes!D3)*1000000</f>
        <v>3.2943574040898764</v>
      </c>
      <c r="G6">
        <f t="shared" ref="G6:G69" si="0">EXP(-68.8862+(101.4956*(100/B6))+(28.7314*LN(B6/100)))/22.4</f>
        <v>2.4114848528124858E-3</v>
      </c>
      <c r="H6" s="28">
        <f t="shared" ref="H6:H69" si="1">F6/G6</f>
        <v>1366.111588985395</v>
      </c>
      <c r="I6" s="25">
        <f t="shared" ref="I6:I69" si="2">H6/1.9</f>
        <v>719.00609946599741</v>
      </c>
      <c r="J6" s="28">
        <f t="shared" ref="J6:J69" si="3">F6*12.01</f>
        <v>39.565232423119419</v>
      </c>
      <c r="P6" s="25"/>
      <c r="Q6" s="1"/>
      <c r="R6" s="1"/>
      <c r="S6" s="28"/>
      <c r="T6" s="28"/>
    </row>
    <row r="7" spans="1:20" ht="14" x14ac:dyDescent="0.15">
      <c r="A7" s="43" t="s">
        <v>95</v>
      </c>
      <c r="B7">
        <f>'C-speciation'!F9</f>
        <v>275.14999999999998</v>
      </c>
      <c r="C7" s="48">
        <v>7.3802036970066904</v>
      </c>
      <c r="D7" s="6">
        <f>(((C7/1000000)*((0.0013))*Volumes!B4/1000)*((Volumes!B4+Volumes!C4)/Volumes!C4))</f>
        <v>6.3609975664500661E-11</v>
      </c>
      <c r="E7" s="6">
        <f>(((Volumes!B4+Volumes!C4)/Volumes!C4)*(Volumes!C4/1000*(C7/1000000)))/(0.082057*308.15)</f>
        <v>6.4503430911500261E-9</v>
      </c>
      <c r="F7" s="4">
        <f>(D7+E7)*(1000/Volumes!D4)*1000000</f>
        <v>1.3027906133629052</v>
      </c>
      <c r="G7">
        <f t="shared" si="0"/>
        <v>2.4114848528124858E-3</v>
      </c>
      <c r="H7" s="28">
        <f t="shared" si="1"/>
        <v>540.24416195004346</v>
      </c>
      <c r="I7" s="25">
        <f t="shared" si="2"/>
        <v>284.33903260528604</v>
      </c>
      <c r="J7" s="28">
        <f t="shared" si="3"/>
        <v>15.646515266488493</v>
      </c>
      <c r="P7" s="25"/>
      <c r="Q7" s="1"/>
      <c r="R7" s="1"/>
      <c r="S7" s="28"/>
      <c r="T7" s="28"/>
    </row>
    <row r="8" spans="1:20" ht="14" x14ac:dyDescent="0.15">
      <c r="A8" s="43" t="s">
        <v>96</v>
      </c>
      <c r="B8">
        <f>'C-speciation'!F10</f>
        <v>281.68622916666664</v>
      </c>
      <c r="C8" s="48">
        <v>4.03</v>
      </c>
      <c r="D8" s="6">
        <f>(((C8/1000000)*((0.0013))*Volumes!B5/1000)*((Volumes!B5+Volumes!C5)/Volumes!C5))</f>
        <v>3.4734570000000001E-11</v>
      </c>
      <c r="E8" s="6">
        <f>(((Volumes!B5+Volumes!C5)/Volumes!C5)*(Volumes!C5/1000*(C8/1000000)))/(0.082057*308.15)</f>
        <v>3.5222446052373568E-9</v>
      </c>
      <c r="F8" s="4">
        <f>(D8+E8)*(1000/Volumes!D5)*1000000</f>
        <v>0.71139583504747128</v>
      </c>
      <c r="G8">
        <f t="shared" si="0"/>
        <v>2.0114355176438685E-3</v>
      </c>
      <c r="H8" s="28">
        <f t="shared" si="1"/>
        <v>353.67568525426941</v>
      </c>
      <c r="I8" s="25">
        <f t="shared" si="2"/>
        <v>186.14509750224707</v>
      </c>
      <c r="J8" s="28">
        <f t="shared" si="3"/>
        <v>8.5438639789201307</v>
      </c>
      <c r="P8" s="25"/>
      <c r="Q8" s="1"/>
      <c r="R8" s="1"/>
      <c r="S8" s="28"/>
      <c r="T8" s="28"/>
    </row>
    <row r="9" spans="1:20" ht="14" x14ac:dyDescent="0.15">
      <c r="A9" s="43" t="s">
        <v>97</v>
      </c>
      <c r="B9">
        <f>'C-speciation'!F11</f>
        <v>281.59944791666663</v>
      </c>
      <c r="C9" s="48" t="s">
        <v>93</v>
      </c>
      <c r="D9" s="6" t="e">
        <f>(((C9/1000000)*((0.0013))*Volumes!B6/1000)*((Volumes!B6+Volumes!C6)/Volumes!C6))</f>
        <v>#VALUE!</v>
      </c>
      <c r="E9" s="6" t="e">
        <f>(((Volumes!B6+Volumes!C6)/Volumes!C6)*(Volumes!C6/1000*(C9/1000000)))/(0.082057*308.15)</f>
        <v>#VALUE!</v>
      </c>
      <c r="F9" s="4" t="e">
        <f>(D9+E9)*(1000/Volumes!D6)*1000000</f>
        <v>#VALUE!</v>
      </c>
      <c r="G9">
        <f t="shared" si="0"/>
        <v>2.0159684318679311E-3</v>
      </c>
      <c r="H9" s="28" t="e">
        <f t="shared" si="1"/>
        <v>#VALUE!</v>
      </c>
      <c r="I9" s="25" t="e">
        <f t="shared" si="2"/>
        <v>#VALUE!</v>
      </c>
      <c r="J9" s="28" t="e">
        <f t="shared" si="3"/>
        <v>#VALUE!</v>
      </c>
      <c r="P9" s="25"/>
      <c r="Q9" s="1"/>
      <c r="R9" s="1"/>
      <c r="S9" s="28"/>
      <c r="T9" s="28"/>
    </row>
    <row r="10" spans="1:20" ht="14" x14ac:dyDescent="0.15">
      <c r="A10" s="43" t="s">
        <v>98</v>
      </c>
      <c r="B10">
        <f>'C-speciation'!F12</f>
        <v>275.14999999999998</v>
      </c>
      <c r="C10" s="48">
        <v>195.37</v>
      </c>
      <c r="D10" s="6">
        <f>(((C10/1000000)*((0.0013))*Volumes!B7/1000)*((Volumes!B7+Volumes!C7)/Volumes!C7))</f>
        <v>1.6838940299999998E-9</v>
      </c>
      <c r="E10" s="6">
        <f>(((Volumes!B7+Volumes!C7)/Volumes!C7)*(Volumes!C7/1000*(C10/1000000)))/(0.082057*308.15)</f>
        <v>1.7075457283504272E-7</v>
      </c>
      <c r="F10" s="4">
        <f>(D10+E10)*(1000/Volumes!D7)*1000000</f>
        <v>34.48769337300854</v>
      </c>
      <c r="G10">
        <f t="shared" si="0"/>
        <v>2.4114848528124858E-3</v>
      </c>
      <c r="H10" s="28">
        <f t="shared" si="1"/>
        <v>14301.434791425689</v>
      </c>
      <c r="I10" s="25">
        <f t="shared" si="2"/>
        <v>7527.0709428556256</v>
      </c>
      <c r="J10" s="28">
        <f t="shared" si="3"/>
        <v>414.19719740983254</v>
      </c>
      <c r="P10" s="25"/>
      <c r="Q10" s="1"/>
      <c r="R10" s="1"/>
      <c r="S10" s="28"/>
      <c r="T10" s="28"/>
    </row>
    <row r="11" spans="1:20" ht="14" x14ac:dyDescent="0.15">
      <c r="A11" s="43" t="s">
        <v>99</v>
      </c>
      <c r="B11">
        <f>'C-speciation'!F13</f>
        <v>275.14999999999998</v>
      </c>
      <c r="C11" s="48">
        <v>0.85512238891984604</v>
      </c>
      <c r="D11" s="6">
        <f>(((C11/1000000)*((0.0013))*Volumes!B8/1000)*((Volumes!B8+Volumes!C8)/Volumes!C8))</f>
        <v>7.3702998701001526E-12</v>
      </c>
      <c r="E11" s="6">
        <f>(((Volumes!B8+Volumes!C8)/Volumes!C8)*(Volumes!C8/1000*(C11/1000000)))/(0.082057*308.15)</f>
        <v>7.4738218888104414E-10</v>
      </c>
      <c r="F11" s="4">
        <f>(D11+E11)*(1000/Volumes!D8)*1000000</f>
        <v>0.15095049775022884</v>
      </c>
      <c r="G11">
        <f t="shared" si="0"/>
        <v>2.4114848528124858E-3</v>
      </c>
      <c r="H11" s="28">
        <f t="shared" si="1"/>
        <v>62.596494261275204</v>
      </c>
      <c r="I11" s="25">
        <f t="shared" si="2"/>
        <v>32.945523295408002</v>
      </c>
      <c r="J11" s="28">
        <f t="shared" si="3"/>
        <v>1.8129154779802483</v>
      </c>
      <c r="P11" s="25"/>
      <c r="Q11" s="1"/>
      <c r="R11" s="1"/>
      <c r="S11" s="28"/>
      <c r="T11" s="28"/>
    </row>
    <row r="12" spans="1:20" ht="14" x14ac:dyDescent="0.15">
      <c r="A12" s="43" t="s">
        <v>100</v>
      </c>
      <c r="B12">
        <f>'C-speciation'!F14</f>
        <v>290.57291666666669</v>
      </c>
      <c r="C12" s="48">
        <v>540.77431979159905</v>
      </c>
      <c r="D12" s="6">
        <f>(((C12/1000000)*((0.0013))*Volumes!B9/1000)*((Volumes!B9+Volumes!C9)/Volumes!C9))</f>
        <v>4.6609338622837925E-9</v>
      </c>
      <c r="E12" s="6">
        <f>(((Volumes!B9+Volumes!C9)/Volumes!C9)*(Volumes!C9/1000*(C12/1000000)))/(0.082057*308.15)</f>
        <v>4.7264005720517634E-7</v>
      </c>
      <c r="F12" s="4">
        <f>(D12+E12)*(1000/Volumes!D9)*1000000</f>
        <v>95.460198213492021</v>
      </c>
      <c r="G12">
        <f t="shared" si="0"/>
        <v>1.6311844206044529E-3</v>
      </c>
      <c r="H12" s="28">
        <f t="shared" si="1"/>
        <v>58522.01443790042</v>
      </c>
      <c r="I12" s="25">
        <f t="shared" si="2"/>
        <v>30801.060230473908</v>
      </c>
      <c r="J12" s="28">
        <f t="shared" si="3"/>
        <v>1146.4769805440392</v>
      </c>
      <c r="P12" s="25"/>
      <c r="Q12" s="1"/>
      <c r="R12" s="1"/>
      <c r="S12" s="28"/>
      <c r="T12" s="28"/>
    </row>
    <row r="13" spans="1:20" ht="14" x14ac:dyDescent="0.15">
      <c r="A13" s="43" t="s">
        <v>101</v>
      </c>
      <c r="B13">
        <f>'C-speciation'!F15</f>
        <v>275.14999999999998</v>
      </c>
      <c r="C13" s="48" t="s">
        <v>93</v>
      </c>
      <c r="D13" s="6" t="e">
        <f>(((C13/1000000)*((0.0013))*Volumes!B10/1000)*((Volumes!B10+Volumes!C10)/Volumes!C10))</f>
        <v>#VALUE!</v>
      </c>
      <c r="E13" s="6" t="e">
        <f>(((Volumes!B10+Volumes!C10)/Volumes!C10)*(Volumes!C10/1000*(C13/1000000)))/(0.082057*308.15)</f>
        <v>#VALUE!</v>
      </c>
      <c r="F13" s="4" t="e">
        <f>(D13+E13)*(1000/Volumes!D10)*1000000</f>
        <v>#VALUE!</v>
      </c>
      <c r="G13">
        <f t="shared" si="0"/>
        <v>2.4114848528124858E-3</v>
      </c>
      <c r="H13" s="28" t="e">
        <f t="shared" si="1"/>
        <v>#VALUE!</v>
      </c>
      <c r="I13" s="25" t="e">
        <f t="shared" si="2"/>
        <v>#VALUE!</v>
      </c>
      <c r="J13" s="28" t="e">
        <f t="shared" si="3"/>
        <v>#VALUE!</v>
      </c>
      <c r="P13" s="25"/>
      <c r="Q13" s="1"/>
      <c r="R13" s="1"/>
      <c r="S13" s="28"/>
      <c r="T13" s="28"/>
    </row>
    <row r="14" spans="1:20" ht="14" x14ac:dyDescent="0.15">
      <c r="A14" s="43" t="s">
        <v>102</v>
      </c>
      <c r="B14">
        <f>'C-speciation'!F16</f>
        <v>285.51458333333329</v>
      </c>
      <c r="C14" s="48">
        <v>32.188844823416801</v>
      </c>
      <c r="D14" s="6">
        <f>(((C14/1000000)*((0.0013))*Volumes!B11/1000)*((Volumes!B11+Volumes!C11)/Volumes!C11))</f>
        <v>2.7743565353302941E-10</v>
      </c>
      <c r="E14" s="6">
        <f>(((Volumes!B11+Volumes!C11)/Volumes!C11)*(Volumes!C11/1000*(C14/1000000)))/(0.082057*308.15)</f>
        <v>2.8133246905236284E-8</v>
      </c>
      <c r="F14" s="4">
        <f>(D14+E14)*(1000/Volumes!D11)*1000000</f>
        <v>5.6821365117538623</v>
      </c>
      <c r="G14">
        <f t="shared" si="0"/>
        <v>1.8286379867595032E-3</v>
      </c>
      <c r="H14" s="28">
        <f t="shared" si="1"/>
        <v>3107.3053020314178</v>
      </c>
      <c r="I14" s="25">
        <f t="shared" si="2"/>
        <v>1635.4238431744304</v>
      </c>
      <c r="J14" s="28">
        <f t="shared" si="3"/>
        <v>68.242459506163883</v>
      </c>
      <c r="P14" s="25"/>
      <c r="Q14" s="1"/>
      <c r="R14" s="1"/>
      <c r="S14" s="28"/>
      <c r="T14" s="28"/>
    </row>
    <row r="15" spans="1:20" ht="14" x14ac:dyDescent="0.15">
      <c r="A15" s="43" t="s">
        <v>103</v>
      </c>
      <c r="B15">
        <f>'C-speciation'!F17</f>
        <v>275.14999999999998</v>
      </c>
      <c r="C15" s="48">
        <v>1.62</v>
      </c>
      <c r="D15" s="6">
        <f>(((C15/1000000)*((0.0013))*Volumes!B12/1000)*((Volumes!B12+Volumes!C12)/Volumes!C12))</f>
        <v>1.3962779999999998E-11</v>
      </c>
      <c r="E15" s="6">
        <f>(((Volumes!B12+Volumes!C12)/Volumes!C12)*(Volumes!C12/1000*(C15/1000000)))/(0.082057*308.15)</f>
        <v>1.4158898909390862E-9</v>
      </c>
      <c r="F15" s="4">
        <f>(D15+E15)*(1000/Volumes!D12)*1000000</f>
        <v>0.28597053418781726</v>
      </c>
      <c r="G15">
        <f t="shared" si="0"/>
        <v>2.4114848528124858E-3</v>
      </c>
      <c r="H15" s="28">
        <f t="shared" si="1"/>
        <v>118.58690874806585</v>
      </c>
      <c r="I15" s="25">
        <f t="shared" si="2"/>
        <v>62.41416249898203</v>
      </c>
      <c r="J15" s="28">
        <f t="shared" si="3"/>
        <v>3.4345061155956853</v>
      </c>
      <c r="P15" s="25"/>
      <c r="Q15" s="1"/>
      <c r="R15" s="1"/>
      <c r="S15" s="28"/>
      <c r="T15" s="28"/>
    </row>
    <row r="16" spans="1:20" ht="14" x14ac:dyDescent="0.15">
      <c r="A16" s="43" t="s">
        <v>104</v>
      </c>
      <c r="B16">
        <f>'C-speciation'!F18</f>
        <v>275.14999999999998</v>
      </c>
      <c r="C16" s="48" t="s">
        <v>93</v>
      </c>
      <c r="D16" s="6" t="e">
        <f>(((C16/1000000)*((0.0013))*Volumes!B13/1000)*((Volumes!B13+Volumes!C13)/Volumes!C13))</f>
        <v>#VALUE!</v>
      </c>
      <c r="E16" s="6" t="e">
        <f>(((Volumes!B13+Volumes!C13)/Volumes!C13)*(Volumes!C13/1000*(C16/1000000)))/(0.082057*308.15)</f>
        <v>#VALUE!</v>
      </c>
      <c r="F16" s="4" t="e">
        <f>(D16+E16)*(1000/Volumes!D13)*1000000</f>
        <v>#VALUE!</v>
      </c>
      <c r="G16">
        <f t="shared" si="0"/>
        <v>2.4114848528124858E-3</v>
      </c>
      <c r="H16" s="28" t="e">
        <f t="shared" si="1"/>
        <v>#VALUE!</v>
      </c>
      <c r="I16" s="25" t="e">
        <f t="shared" si="2"/>
        <v>#VALUE!</v>
      </c>
      <c r="J16" s="28" t="e">
        <f t="shared" si="3"/>
        <v>#VALUE!</v>
      </c>
      <c r="P16" s="25"/>
      <c r="Q16" s="1"/>
      <c r="R16" s="1"/>
      <c r="S16" s="28"/>
      <c r="T16" s="28"/>
    </row>
    <row r="17" spans="1:20" ht="14" x14ac:dyDescent="0.15">
      <c r="A17" s="43" t="s">
        <v>105</v>
      </c>
      <c r="B17">
        <f>'C-speciation'!F19</f>
        <v>284.3696875</v>
      </c>
      <c r="C17" s="48">
        <v>1.8950095277468899</v>
      </c>
      <c r="D17" s="6">
        <f>(((C17/1000000)*((0.0013))*Volumes!B14/1000)*((Volumes!B14+Volumes!C14)/Volumes!C14))</f>
        <v>1.6333087119650443E-11</v>
      </c>
      <c r="E17" s="6">
        <f>(((Volumes!B14+Volumes!C14)/Volumes!C14)*(Volumes!C14/1000*(C17/1000000)))/(0.082057*308.15)</f>
        <v>1.6562498972654773E-9</v>
      </c>
      <c r="F17" s="4">
        <f>(D17+E17)*(1000/Volumes!D14)*1000000</f>
        <v>0.33451659687702551</v>
      </c>
      <c r="G17">
        <f t="shared" si="0"/>
        <v>1.8799573398069886E-3</v>
      </c>
      <c r="H17" s="28">
        <f t="shared" si="1"/>
        <v>177.93839774649868</v>
      </c>
      <c r="I17" s="25">
        <f t="shared" si="2"/>
        <v>93.651788287630893</v>
      </c>
      <c r="J17" s="28">
        <f t="shared" si="3"/>
        <v>4.0175443284930763</v>
      </c>
      <c r="P17" s="25"/>
      <c r="Q17" s="1"/>
      <c r="R17" s="1"/>
      <c r="S17" s="28"/>
      <c r="T17" s="28"/>
    </row>
    <row r="18" spans="1:20" ht="14" x14ac:dyDescent="0.15">
      <c r="A18" s="43" t="s">
        <v>106</v>
      </c>
      <c r="B18">
        <f>'C-speciation'!F20</f>
        <v>275.14999999999998</v>
      </c>
      <c r="C18" s="48">
        <v>16.035119626041102</v>
      </c>
      <c r="D18" s="6">
        <f>(((C18/1000000)*((0.0013))*Volumes!B15/1000)*((Volumes!B15+Volumes!C15)/Volumes!C15))</f>
        <v>1.3820669605684826E-10</v>
      </c>
      <c r="E18" s="6">
        <f>(((Volumes!B15+Volumes!C15)/Volumes!C15)*(Volumes!C15/1000*(C18/1000000)))/(0.082057*308.15)</f>
        <v>1.4014792455870702E-8</v>
      </c>
      <c r="F18" s="4">
        <f>(D18+E18)*(1000/Volumes!D15)*1000000</f>
        <v>2.83059983038551</v>
      </c>
      <c r="G18">
        <f t="shared" si="0"/>
        <v>2.4114848528124858E-3</v>
      </c>
      <c r="H18" s="28">
        <f t="shared" si="1"/>
        <v>1173.7995480602815</v>
      </c>
      <c r="I18" s="25">
        <f t="shared" si="2"/>
        <v>617.7892358212008</v>
      </c>
      <c r="J18" s="28">
        <f t="shared" si="3"/>
        <v>33.995503962929973</v>
      </c>
      <c r="P18" s="25"/>
      <c r="Q18" s="1"/>
      <c r="R18" s="1"/>
      <c r="S18" s="28"/>
      <c r="T18" s="28"/>
    </row>
    <row r="19" spans="1:20" ht="14" x14ac:dyDescent="0.15">
      <c r="A19" s="43" t="s">
        <v>107</v>
      </c>
      <c r="B19">
        <f>'C-speciation'!F21</f>
        <v>286.3803125</v>
      </c>
      <c r="C19" s="48">
        <v>9.7915787669151904</v>
      </c>
      <c r="D19" s="6">
        <f>(((C19/1000000)*((0.0013))*Volumes!B16/1000)*((Volumes!B16+Volumes!C16)/Volumes!C16))</f>
        <v>8.4393617392042012E-11</v>
      </c>
      <c r="E19" s="6">
        <f>(((Volumes!B16+Volumes!C16)/Volumes!C16)*(Volumes!C16/1000*(C19/1000000)))/(0.082057*308.15)</f>
        <v>8.5578996249438405E-9</v>
      </c>
      <c r="F19" s="4">
        <f>(D19+E19)*(1000/Volumes!D16)*1000000</f>
        <v>1.7284586484671765</v>
      </c>
      <c r="G19">
        <f t="shared" si="0"/>
        <v>1.7915755401175847E-3</v>
      </c>
      <c r="H19" s="28">
        <f t="shared" si="1"/>
        <v>964.77017561522098</v>
      </c>
      <c r="I19" s="25">
        <f t="shared" si="2"/>
        <v>507.77377663959004</v>
      </c>
      <c r="J19" s="28">
        <f t="shared" si="3"/>
        <v>20.758788368090787</v>
      </c>
      <c r="P19" s="25"/>
      <c r="Q19" s="1"/>
      <c r="R19" s="1"/>
      <c r="S19" s="28"/>
      <c r="T19" s="28"/>
    </row>
    <row r="20" spans="1:20" ht="14" x14ac:dyDescent="0.15">
      <c r="A20" s="43" t="s">
        <v>108</v>
      </c>
      <c r="B20">
        <f>'C-speciation'!F22</f>
        <v>279.36391666666663</v>
      </c>
      <c r="C20" s="48">
        <v>5.3118538199394898</v>
      </c>
      <c r="D20" s="6">
        <f>(((C20/1000000)*((0.0013))*Volumes!B17/1000)*((Volumes!B17+Volumes!C17)/Volumes!C17))</f>
        <v>4.578286807405846E-11</v>
      </c>
      <c r="E20" s="6">
        <f>(((Volumes!B17+Volumes!C17)/Volumes!C17)*(Volumes!C17/1000*(C20/1000000)))/(0.082057*308.15)</f>
        <v>4.6425926702459831E-9</v>
      </c>
      <c r="F20" s="4">
        <f>(D20+E20)*(1000/Volumes!D17)*1000000</f>
        <v>0.9376751076640083</v>
      </c>
      <c r="G20">
        <f t="shared" si="0"/>
        <v>2.1393886048874538E-3</v>
      </c>
      <c r="H20" s="28">
        <f t="shared" si="1"/>
        <v>438.29115735303094</v>
      </c>
      <c r="I20" s="25">
        <f t="shared" si="2"/>
        <v>230.67955650159524</v>
      </c>
      <c r="J20" s="28">
        <f t="shared" si="3"/>
        <v>11.26147804304474</v>
      </c>
      <c r="P20" s="25"/>
      <c r="Q20" s="1"/>
      <c r="R20" s="1"/>
      <c r="S20" s="28"/>
      <c r="T20" s="28"/>
    </row>
    <row r="21" spans="1:20" ht="14" x14ac:dyDescent="0.15">
      <c r="A21" s="43" t="s">
        <v>109</v>
      </c>
      <c r="B21">
        <f>'C-speciation'!F23</f>
        <v>287.2439583333333</v>
      </c>
      <c r="C21" s="48">
        <v>518.02985657681904</v>
      </c>
      <c r="D21" s="6">
        <f>(((C21/1000000)*((0.0013))*Volumes!B18/1000)*((Volumes!B18+Volumes!C18)/Volumes!C18))</f>
        <v>4.4648993338356029E-9</v>
      </c>
      <c r="E21" s="6">
        <f>(((Volumes!B18+Volumes!C18)/Volumes!C18)*(Volumes!C18/1000*(C21/1000000)))/(0.082057*308.15)</f>
        <v>4.5276125748873006E-7</v>
      </c>
      <c r="F21" s="4">
        <f>(D21+E21)*(1000/Volumes!D18)*1000000</f>
        <v>91.445231364513134</v>
      </c>
      <c r="G21">
        <f t="shared" si="0"/>
        <v>1.7560246126658069E-3</v>
      </c>
      <c r="H21" s="28">
        <f t="shared" si="1"/>
        <v>52075.14217337242</v>
      </c>
      <c r="I21" s="25">
        <f t="shared" si="2"/>
        <v>27407.969564932853</v>
      </c>
      <c r="J21" s="28">
        <f t="shared" si="3"/>
        <v>1098.2572286878028</v>
      </c>
      <c r="P21" s="25"/>
      <c r="Q21" s="1"/>
      <c r="R21" s="1"/>
      <c r="S21" s="28"/>
      <c r="T21" s="28"/>
    </row>
    <row r="22" spans="1:20" ht="14" x14ac:dyDescent="0.15">
      <c r="A22" s="43" t="s">
        <v>110</v>
      </c>
      <c r="B22">
        <f>'C-speciation'!F24</f>
        <v>275.14999999999998</v>
      </c>
      <c r="C22" s="48" t="s">
        <v>93</v>
      </c>
      <c r="D22" s="6" t="e">
        <f>(((C22/1000000)*((0.0013))*Volumes!B19/1000)*((Volumes!B19+Volumes!C19)/Volumes!C19))</f>
        <v>#VALUE!</v>
      </c>
      <c r="E22" s="6" t="e">
        <f>(((Volumes!B19+Volumes!C19)/Volumes!C19)*(Volumes!C19/1000*(C22/1000000)))/(0.082057*308.15)</f>
        <v>#VALUE!</v>
      </c>
      <c r="F22" s="4" t="e">
        <f>(D22+E22)*(1000/Volumes!D19)*1000000</f>
        <v>#VALUE!</v>
      </c>
      <c r="G22">
        <f t="shared" si="0"/>
        <v>2.4114848528124858E-3</v>
      </c>
      <c r="H22" s="28" t="e">
        <f t="shared" si="1"/>
        <v>#VALUE!</v>
      </c>
      <c r="I22" s="25" t="e">
        <f t="shared" si="2"/>
        <v>#VALUE!</v>
      </c>
      <c r="J22" s="28" t="e">
        <f t="shared" si="3"/>
        <v>#VALUE!</v>
      </c>
      <c r="P22" s="25"/>
      <c r="Q22" s="1"/>
      <c r="R22" s="1"/>
      <c r="S22" s="28"/>
      <c r="T22" s="28"/>
    </row>
    <row r="23" spans="1:20" ht="14" x14ac:dyDescent="0.15">
      <c r="A23" s="43" t="s">
        <v>111</v>
      </c>
      <c r="B23">
        <f>'C-speciation'!F25</f>
        <v>275.14999999999998</v>
      </c>
      <c r="C23" s="48">
        <v>1.0166358846946999</v>
      </c>
      <c r="D23" s="6">
        <f>(((C23/1000000)*((0.0013))*Volumes!B20/1000)*((Volumes!B20+Volumes!C20)/Volumes!C20))</f>
        <v>8.7623846901836174E-12</v>
      </c>
      <c r="E23" s="6">
        <f>(((Volumes!B20+Volumes!C20)/Volumes!C20)*(Volumes!C20/1000*(C23/1000000)))/(0.082057*308.15)</f>
        <v>8.8854597031181487E-10</v>
      </c>
      <c r="F23" s="4">
        <f>(D23+E23)*(1000/Volumes!D20)*1000000</f>
        <v>0.1794616710003997</v>
      </c>
      <c r="G23">
        <f t="shared" si="0"/>
        <v>2.4114848528124858E-3</v>
      </c>
      <c r="H23" s="28">
        <f t="shared" si="1"/>
        <v>74.419572153271332</v>
      </c>
      <c r="I23" s="25">
        <f t="shared" si="2"/>
        <v>39.16819587014281</v>
      </c>
      <c r="J23" s="28">
        <f t="shared" si="3"/>
        <v>2.1553346687148003</v>
      </c>
      <c r="P23" s="25"/>
      <c r="Q23" s="1"/>
      <c r="R23" s="1"/>
      <c r="S23" s="28"/>
      <c r="T23" s="28"/>
    </row>
    <row r="24" spans="1:20" ht="14" x14ac:dyDescent="0.15">
      <c r="A24" s="43" t="s">
        <v>112</v>
      </c>
      <c r="B24">
        <f>'C-speciation'!F26</f>
        <v>275.14999999999998</v>
      </c>
      <c r="C24" s="48">
        <v>0.85660534825713797</v>
      </c>
      <c r="D24" s="6">
        <f>(((C24/1000000)*((0.0013))*Volumes!B21/1000)*((Volumes!B21+Volumes!C21)/Volumes!C21))</f>
        <v>7.383081496628271E-12</v>
      </c>
      <c r="E24" s="6">
        <f>(((Volumes!B21+Volumes!C21)/Volumes!C21)*(Volumes!C21/1000*(C24/1000000)))/(0.082057*308.15)</f>
        <v>7.4867830439607217E-10</v>
      </c>
      <c r="F24" s="4">
        <f>(D24+E24)*(1000/Volumes!D21)*1000000</f>
        <v>0.15121227717854008</v>
      </c>
      <c r="G24">
        <f t="shared" si="0"/>
        <v>2.4114848528124858E-3</v>
      </c>
      <c r="H24" s="28">
        <f t="shared" si="1"/>
        <v>62.705049547453314</v>
      </c>
      <c r="I24" s="25">
        <f t="shared" si="2"/>
        <v>33.002657656554376</v>
      </c>
      <c r="J24" s="28">
        <f t="shared" si="3"/>
        <v>1.8160594489142663</v>
      </c>
      <c r="P24" s="25"/>
      <c r="Q24" s="1"/>
      <c r="R24" s="1"/>
      <c r="S24" s="28"/>
      <c r="T24" s="28"/>
    </row>
    <row r="25" spans="1:20" ht="14" x14ac:dyDescent="0.15">
      <c r="A25" s="43" t="s">
        <v>113</v>
      </c>
      <c r="B25">
        <f>'C-speciation'!F27</f>
        <v>282.65781249999998</v>
      </c>
      <c r="C25" s="48">
        <v>52.319830637794603</v>
      </c>
      <c r="D25" s="6">
        <f>(((C25/1000000)*((0.0013))*Volumes!B22/1000)*((Volumes!B22+Volumes!C22)/Volumes!C22))</f>
        <v>4.5094462026715173E-10</v>
      </c>
      <c r="E25" s="6">
        <f>(((Volumes!B22+Volumes!C22)/Volumes!C22)*(Volumes!C22/1000*(C25/1000000)))/(0.082057*308.15)</f>
        <v>4.5727851417097817E-8</v>
      </c>
      <c r="F25" s="4">
        <f>(D25+E25)*(1000/Volumes!D22)*1000000</f>
        <v>9.2357592074729933</v>
      </c>
      <c r="G25">
        <f t="shared" si="0"/>
        <v>1.9619252504745853E-3</v>
      </c>
      <c r="H25" s="28">
        <f t="shared" si="1"/>
        <v>4707.4980074999721</v>
      </c>
      <c r="I25" s="25">
        <f t="shared" si="2"/>
        <v>2477.6305302631436</v>
      </c>
      <c r="J25" s="28">
        <f t="shared" si="3"/>
        <v>110.92146808175065</v>
      </c>
      <c r="P25" s="25"/>
      <c r="Q25" s="1"/>
      <c r="R25" s="1"/>
      <c r="S25" s="28"/>
      <c r="T25" s="28"/>
    </row>
    <row r="26" spans="1:20" ht="14" x14ac:dyDescent="0.15">
      <c r="A26" s="43" t="s">
        <v>114</v>
      </c>
      <c r="B26">
        <f>'C-speciation'!F28</f>
        <v>280.53905208333333</v>
      </c>
      <c r="C26" s="48">
        <v>55.94</v>
      </c>
      <c r="D26" s="6">
        <f>(((C26/1000000)*((0.0013))*Volumes!B23/1000)*((Volumes!B23+Volumes!C23)/Volumes!C23))</f>
        <v>4.821468599999999E-10</v>
      </c>
      <c r="E26" s="6">
        <f>(((Volumes!B23+Volumes!C23)/Volumes!C23)*(Volumes!C23/1000*(C26/1000000)))/(0.082057*308.15)</f>
        <v>4.8891901542674366E-8</v>
      </c>
      <c r="F26" s="4">
        <f>(D26+E26)*(1000/Volumes!D23)*1000000</f>
        <v>9.874809680534872</v>
      </c>
      <c r="G26">
        <f t="shared" si="0"/>
        <v>2.0728810496650099E-3</v>
      </c>
      <c r="H26" s="28">
        <f t="shared" si="1"/>
        <v>4763.8091351796093</v>
      </c>
      <c r="I26" s="25">
        <f t="shared" si="2"/>
        <v>2507.2679658840052</v>
      </c>
      <c r="J26" s="28">
        <f t="shared" si="3"/>
        <v>118.59646426322381</v>
      </c>
      <c r="P26" s="25"/>
      <c r="Q26" s="1"/>
      <c r="R26" s="1"/>
      <c r="S26" s="28"/>
      <c r="T26" s="28"/>
    </row>
    <row r="27" spans="1:20" ht="14" x14ac:dyDescent="0.15">
      <c r="A27" s="43" t="s">
        <v>115</v>
      </c>
      <c r="B27">
        <f>'C-speciation'!F29</f>
        <v>284.3696875</v>
      </c>
      <c r="C27" s="48">
        <v>7.39</v>
      </c>
      <c r="D27" s="6">
        <f>(((C27/1000000)*((0.0013))*Volumes!B24/1000)*((Volumes!B24+Volumes!C24)/Volumes!C24))</f>
        <v>6.3694409999999989E-11</v>
      </c>
      <c r="E27" s="6">
        <f>(((Volumes!B24+Volumes!C24)/Volumes!C24)*(Volumes!C24/1000*(C27/1000000)))/(0.082057*308.15)</f>
        <v>6.458905119777683E-9</v>
      </c>
      <c r="F27" s="4">
        <f>(D27+E27)*(1000/Volumes!D24)*1000000</f>
        <v>1.3045199059555366</v>
      </c>
      <c r="G27">
        <f t="shared" si="0"/>
        <v>1.8799573398069886E-3</v>
      </c>
      <c r="H27" s="28">
        <f t="shared" si="1"/>
        <v>693.90931290465824</v>
      </c>
      <c r="I27" s="25">
        <f t="shared" si="2"/>
        <v>365.21542784455698</v>
      </c>
      <c r="J27" s="28">
        <f t="shared" si="3"/>
        <v>15.667284070525994</v>
      </c>
      <c r="P27" s="25"/>
      <c r="Q27" s="1"/>
      <c r="R27" s="1"/>
      <c r="S27" s="28"/>
      <c r="T27" s="28"/>
    </row>
    <row r="28" spans="1:20" ht="14" x14ac:dyDescent="0.15">
      <c r="A28" s="43" t="s">
        <v>116</v>
      </c>
      <c r="B28">
        <f>'C-speciation'!F30</f>
        <v>278.75828124999998</v>
      </c>
      <c r="C28" s="48">
        <v>15.18</v>
      </c>
      <c r="D28" s="6">
        <f>(((C28/1000000)*((0.0013))*Volumes!B25/1000)*((Volumes!B25+Volumes!C25)/Volumes!C25))</f>
        <v>1.3083641999999999E-10</v>
      </c>
      <c r="E28" s="6">
        <f>(((Volumes!B25+Volumes!C25)/Volumes!C25)*(Volumes!C25/1000*(C28/1000000)))/(0.082057*308.15)</f>
        <v>1.3267412681762548E-8</v>
      </c>
      <c r="F28" s="4">
        <f>(D28+E28)*(1000/Volumes!D25)*1000000</f>
        <v>2.6796498203525099</v>
      </c>
      <c r="G28">
        <f t="shared" si="0"/>
        <v>2.1751524460610957E-3</v>
      </c>
      <c r="H28" s="28">
        <f t="shared" si="1"/>
        <v>1231.9365592995516</v>
      </c>
      <c r="I28" s="25">
        <f t="shared" si="2"/>
        <v>648.38766278923777</v>
      </c>
      <c r="J28" s="28">
        <f t="shared" si="3"/>
        <v>32.182594342433646</v>
      </c>
      <c r="P28" s="25"/>
      <c r="Q28" s="1"/>
      <c r="R28" s="1"/>
      <c r="S28" s="28"/>
      <c r="T28" s="28"/>
    </row>
    <row r="29" spans="1:20" ht="14" x14ac:dyDescent="0.15">
      <c r="A29" s="43" t="s">
        <v>117</v>
      </c>
      <c r="B29">
        <f>'C-speciation'!F31</f>
        <v>283.91010416666666</v>
      </c>
      <c r="C29" s="48">
        <v>4.3899999999999997</v>
      </c>
      <c r="D29" s="6">
        <f>(((C29/1000000)*((0.0013))*Volumes!B26/1000)*((Volumes!B26+Volumes!C26)/Volumes!C26))</f>
        <v>3.783741E-11</v>
      </c>
      <c r="E29" s="6">
        <f>(((Volumes!B26+Volumes!C26)/Volumes!C26)*(Volumes!C26/1000*(C29/1000000)))/(0.082057*308.15)</f>
        <v>3.83688680322382E-9</v>
      </c>
      <c r="F29" s="4">
        <f>(D29+E29)*(1000/Volumes!D26)*1000000</f>
        <v>0.77494484264476404</v>
      </c>
      <c r="G29">
        <f t="shared" si="0"/>
        <v>1.9013294018736368E-3</v>
      </c>
      <c r="H29" s="28">
        <f t="shared" si="1"/>
        <v>407.58052859283941</v>
      </c>
      <c r="I29" s="25">
        <f t="shared" si="2"/>
        <v>214.51606768044181</v>
      </c>
      <c r="J29" s="28">
        <f t="shared" si="3"/>
        <v>9.307087560163616</v>
      </c>
      <c r="P29" s="25"/>
      <c r="Q29" s="1"/>
      <c r="R29" s="1"/>
      <c r="S29" s="28"/>
      <c r="T29" s="28"/>
    </row>
    <row r="30" spans="1:20" ht="14" x14ac:dyDescent="0.15">
      <c r="A30" s="43" t="s">
        <v>118</v>
      </c>
      <c r="B30">
        <f>'C-speciation'!F32</f>
        <v>281.38429166666663</v>
      </c>
      <c r="C30" s="48">
        <v>22.35</v>
      </c>
      <c r="D30" s="6">
        <f>(((C30/1000000)*((0.0013))*Volumes!B27/1000)*((Volumes!B27+Volumes!C27)/Volumes!C27))</f>
        <v>1.9263465000000002E-10</v>
      </c>
      <c r="E30" s="6">
        <f>(((Volumes!B27+Volumes!C27)/Volumes!C27)*(Volumes!C27/1000*(C30/1000000)))/(0.082057*308.15)</f>
        <v>1.9534036458326282E-8</v>
      </c>
      <c r="F30" s="4">
        <f>(D30+E30)*(1000/Volumes!D27)*1000000</f>
        <v>3.9453342216652567</v>
      </c>
      <c r="G30">
        <f t="shared" si="0"/>
        <v>2.0272869892290629E-3</v>
      </c>
      <c r="H30" s="28">
        <f t="shared" si="1"/>
        <v>1946.1152972552688</v>
      </c>
      <c r="I30" s="25">
        <f t="shared" si="2"/>
        <v>1024.2712090817206</v>
      </c>
      <c r="J30" s="28">
        <f t="shared" si="3"/>
        <v>47.38346400219973</v>
      </c>
      <c r="P30" s="25"/>
      <c r="Q30" s="1"/>
      <c r="R30" s="1"/>
      <c r="S30" s="28"/>
      <c r="T30" s="28"/>
    </row>
    <row r="31" spans="1:20" ht="14" x14ac:dyDescent="0.15">
      <c r="A31" s="43" t="s">
        <v>119</v>
      </c>
      <c r="B31">
        <f>'C-speciation'!F33</f>
        <v>288.03625</v>
      </c>
      <c r="C31" s="48">
        <v>41.96</v>
      </c>
      <c r="D31" s="6">
        <f>(((C31/1000000)*((0.0013))*Volumes!B28/1000)*((Volumes!B28+Volumes!C28)/Volumes!C28))</f>
        <v>3.6165323999999989E-10</v>
      </c>
      <c r="E31" s="6">
        <f>(((Volumes!B28+Volumes!C28)/Volumes!C28)*(Volumes!C28/1000*(C31/1000000)))/(0.082057*308.15)</f>
        <v>3.6673296187533368E-8</v>
      </c>
      <c r="F31" s="4">
        <f>(D31+E31)*(1000/Volumes!D28)*1000000</f>
        <v>7.4069898855066736</v>
      </c>
      <c r="G31">
        <f t="shared" si="0"/>
        <v>1.7246067763071577E-3</v>
      </c>
      <c r="H31" s="28">
        <f t="shared" si="1"/>
        <v>4294.8862240742274</v>
      </c>
      <c r="I31" s="25">
        <f t="shared" si="2"/>
        <v>2260.4664337232775</v>
      </c>
      <c r="J31" s="28">
        <f t="shared" si="3"/>
        <v>88.957948524935148</v>
      </c>
      <c r="P31" s="25"/>
      <c r="Q31" s="1"/>
      <c r="R31" s="1"/>
      <c r="S31" s="28"/>
      <c r="T31" s="28"/>
    </row>
    <row r="32" spans="1:20" ht="14" x14ac:dyDescent="0.15">
      <c r="A32" s="43" t="s">
        <v>120</v>
      </c>
      <c r="B32">
        <f>'C-speciation'!F34</f>
        <v>280.78694791666663</v>
      </c>
      <c r="C32" s="48">
        <v>1.05613888190274</v>
      </c>
      <c r="D32" s="6">
        <f>(((C32/1000000)*((0.0013))*Volumes!B29/1000)*((Volumes!B29+Volumes!C29)/Volumes!C29))</f>
        <v>9.1028610231197143E-12</v>
      </c>
      <c r="E32" s="6">
        <f>(((Volumes!B29+Volumes!C29)/Volumes!C29)*(Volumes!C29/1000*(C32/1000000)))/(0.082057*308.15)</f>
        <v>9.230718310579006E-10</v>
      </c>
      <c r="F32" s="4">
        <f>(D32+E32)*(1000/Volumes!D29)*1000000</f>
        <v>0.18643493841620407</v>
      </c>
      <c r="G32">
        <f t="shared" si="0"/>
        <v>2.0593196389409574E-3</v>
      </c>
      <c r="H32" s="28">
        <f t="shared" si="1"/>
        <v>90.532297604893245</v>
      </c>
      <c r="I32" s="25">
        <f t="shared" si="2"/>
        <v>47.64857768678592</v>
      </c>
      <c r="J32" s="28">
        <f t="shared" si="3"/>
        <v>2.2390836103786107</v>
      </c>
      <c r="P32" s="25"/>
      <c r="Q32" s="1"/>
      <c r="R32" s="1"/>
      <c r="S32" s="28"/>
      <c r="T32" s="28"/>
    </row>
    <row r="33" spans="1:20" ht="14" x14ac:dyDescent="0.15">
      <c r="A33" s="43" t="s">
        <v>121</v>
      </c>
      <c r="B33">
        <f>'C-speciation'!F35</f>
        <v>275.14999999999998</v>
      </c>
      <c r="C33" s="48">
        <v>1.1206829529350399</v>
      </c>
      <c r="D33" s="6">
        <f>(((C33/1000000)*((0.0013))*Volumes!B30/1000)*((Volumes!B30+Volumes!C30)/Volumes!C30))</f>
        <v>9.6591663713471105E-12</v>
      </c>
      <c r="E33" s="6">
        <f>(((Volumes!B30+Volumes!C30)/Volumes!C30)*(Volumes!C30/1000*(C33/1000000)))/(0.082057*308.15)</f>
        <v>9.7948374321511531E-10</v>
      </c>
      <c r="F33" s="4">
        <f>(D33+E33)*(1000/Volumes!D30)*1000000</f>
        <v>0.19782858191729247</v>
      </c>
      <c r="G33">
        <f t="shared" si="0"/>
        <v>2.4114848528124858E-3</v>
      </c>
      <c r="H33" s="28">
        <f t="shared" si="1"/>
        <v>82.036004367420091</v>
      </c>
      <c r="I33" s="25">
        <f t="shared" si="2"/>
        <v>43.176844403905314</v>
      </c>
      <c r="J33" s="28">
        <f t="shared" si="3"/>
        <v>2.3759212688266826</v>
      </c>
      <c r="P33" s="25"/>
      <c r="Q33" s="1"/>
      <c r="R33" s="1"/>
      <c r="S33" s="28"/>
      <c r="T33" s="28"/>
    </row>
    <row r="34" spans="1:20" ht="14" x14ac:dyDescent="0.15">
      <c r="A34" s="43" t="s">
        <v>122</v>
      </c>
      <c r="B34">
        <f>'C-speciation'!F36</f>
        <v>282.86077083333333</v>
      </c>
      <c r="C34" s="48">
        <v>620.18578078512996</v>
      </c>
      <c r="D34" s="6">
        <f>(((C34/1000000)*((0.0013))*Volumes!B31/1000)*((Volumes!B31+Volumes!C31)/Volumes!C31))</f>
        <v>5.3453812445870343E-9</v>
      </c>
      <c r="E34" s="6">
        <f>(((Volumes!B31+Volumes!C31)/Volumes!C31)*(Volumes!C31/1000*(C34/1000000)))/(0.082057*308.15)</f>
        <v>5.4204615896162327E-7</v>
      </c>
      <c r="F34" s="4">
        <f>(D34+E34)*(1000/Volumes!D31)*1000000</f>
        <v>109.47830804124206</v>
      </c>
      <c r="G34">
        <f t="shared" si="0"/>
        <v>1.9518635867745594E-3</v>
      </c>
      <c r="H34" s="28">
        <f t="shared" si="1"/>
        <v>56089.11851373496</v>
      </c>
      <c r="I34" s="25">
        <f t="shared" si="2"/>
        <v>29520.588691439454</v>
      </c>
      <c r="J34" s="28">
        <f t="shared" si="3"/>
        <v>1314.8344795753171</v>
      </c>
      <c r="P34" s="25"/>
      <c r="Q34" s="1"/>
      <c r="R34" s="1"/>
      <c r="S34" s="28"/>
      <c r="T34" s="28"/>
    </row>
    <row r="35" spans="1:20" ht="14" x14ac:dyDescent="0.15">
      <c r="A35" s="43" t="s">
        <v>123</v>
      </c>
      <c r="B35">
        <f>'C-speciation'!F37</f>
        <v>284.7663541666667</v>
      </c>
      <c r="C35" s="48">
        <v>54.781343222376101</v>
      </c>
      <c r="D35" s="6">
        <f>(((C35/1000000)*((0.0013))*Volumes!B32/1000)*((Volumes!B32+Volumes!C32)/Volumes!C32))</f>
        <v>4.7216039723365964E-10</v>
      </c>
      <c r="E35" s="6">
        <f>(((Volumes!B32+Volumes!C32)/Volumes!C32)*(Volumes!C32/1000*(C35/1000000)))/(0.082057*308.15)</f>
        <v>4.7879228444831318E-8</v>
      </c>
      <c r="F35" s="4">
        <f>(D35+E35)*(1000/Volumes!D32)*1000000</f>
        <v>9.6702777684129959</v>
      </c>
      <c r="G35">
        <f t="shared" si="0"/>
        <v>1.8618711590568159E-3</v>
      </c>
      <c r="H35" s="28">
        <f t="shared" si="1"/>
        <v>5193.8490595191088</v>
      </c>
      <c r="I35" s="25">
        <f t="shared" si="2"/>
        <v>2733.604768167952</v>
      </c>
      <c r="J35" s="28">
        <f t="shared" si="3"/>
        <v>116.14003599864007</v>
      </c>
      <c r="P35" s="25"/>
      <c r="Q35" s="1"/>
      <c r="R35" s="1"/>
      <c r="S35" s="28"/>
      <c r="T35" s="28"/>
    </row>
    <row r="36" spans="1:20" ht="14" x14ac:dyDescent="0.15">
      <c r="A36" s="43" t="s">
        <v>124</v>
      </c>
      <c r="B36">
        <f>'C-speciation'!F38</f>
        <v>275.14999999999998</v>
      </c>
      <c r="C36" s="48">
        <v>10.413104925331099</v>
      </c>
      <c r="D36" s="6">
        <f>(((C36/1000000)*((0.0013))*Volumes!B33/1000)*((Volumes!B33+Volumes!C33)/Volumes!C33))</f>
        <v>8.9750551351428732E-11</v>
      </c>
      <c r="E36" s="6">
        <f>(((Volumes!B33+Volumes!C33)/Volumes!C33)*(Volumes!C33/1000*(C36/1000000)))/(0.082057*308.15)</f>
        <v>9.1011172821384633E-9</v>
      </c>
      <c r="F36" s="4">
        <f>(D36+E36)*(1000/Volumes!D33)*1000000</f>
        <v>1.8381735666979784</v>
      </c>
      <c r="G36">
        <f t="shared" si="0"/>
        <v>2.4114848528124858E-3</v>
      </c>
      <c r="H36" s="28">
        <f t="shared" si="1"/>
        <v>762.25797750881111</v>
      </c>
      <c r="I36" s="25">
        <f t="shared" si="2"/>
        <v>401.18840921516374</v>
      </c>
      <c r="J36" s="28">
        <f t="shared" si="3"/>
        <v>22.076464536042721</v>
      </c>
      <c r="P36" s="25"/>
      <c r="Q36" s="1"/>
      <c r="R36" s="1"/>
      <c r="S36" s="28"/>
      <c r="T36" s="28"/>
    </row>
    <row r="37" spans="1:20" ht="14" x14ac:dyDescent="0.15">
      <c r="A37" s="43" t="s">
        <v>125</v>
      </c>
      <c r="B37">
        <f>'C-speciation'!F39</f>
        <v>275.14999999999998</v>
      </c>
      <c r="C37" s="48">
        <v>1.0560721260728601</v>
      </c>
      <c r="D37" s="6">
        <f>(((C37/1000000)*((0.0013))*Volumes!B34/1000)*((Volumes!B34+Volumes!C34)/Volumes!C34))</f>
        <v>9.1022856546219806E-12</v>
      </c>
      <c r="E37" s="6">
        <f>(((Volumes!B34+Volumes!C34)/Volumes!C34)*(Volumes!C34/1000*(C37/1000000)))/(0.082057*308.15)</f>
        <v>9.2301348605500664E-10</v>
      </c>
      <c r="F37" s="4">
        <f>(D37+E37)*(1000/Volumes!D34)*1000000</f>
        <v>0.18642315434192572</v>
      </c>
      <c r="G37">
        <f t="shared" si="0"/>
        <v>2.4114848528124858E-3</v>
      </c>
      <c r="H37" s="28">
        <f t="shared" si="1"/>
        <v>77.306375830850698</v>
      </c>
      <c r="I37" s="25">
        <f t="shared" si="2"/>
        <v>40.687566226763529</v>
      </c>
      <c r="J37" s="28">
        <f t="shared" si="3"/>
        <v>2.2389420836465277</v>
      </c>
      <c r="P37" s="25"/>
      <c r="Q37" s="1"/>
      <c r="R37" s="1"/>
      <c r="S37" s="28"/>
      <c r="T37" s="28"/>
    </row>
    <row r="38" spans="1:20" ht="14" x14ac:dyDescent="0.15">
      <c r="A38" s="43" t="s">
        <v>126</v>
      </c>
      <c r="B38">
        <f>'C-speciation'!F40</f>
        <v>275.14999999999998</v>
      </c>
      <c r="C38" s="48">
        <v>95.1133800918563</v>
      </c>
      <c r="D38" s="6">
        <f>(((C38/1000000)*((0.0013))*Volumes!B35/1000)*((Volumes!B35+Volumes!C35)/Volumes!C35))</f>
        <v>8.197822230117094E-10</v>
      </c>
      <c r="E38" s="6">
        <f>(((Volumes!B35+Volumes!C35)/Volumes!C35)*(Volumes!C35/1000*(C38/1000000)))/(0.082057*308.15)</f>
        <v>8.3129674916732257E-8</v>
      </c>
      <c r="F38" s="4">
        <f>(D38+E38)*(1000/Volumes!D35)*1000000</f>
        <v>16.789891427948792</v>
      </c>
      <c r="G38">
        <f t="shared" si="0"/>
        <v>2.4114848528124858E-3</v>
      </c>
      <c r="H38" s="28">
        <f t="shared" si="1"/>
        <v>6962.4702010327555</v>
      </c>
      <c r="I38" s="25">
        <f t="shared" si="2"/>
        <v>3664.4580005435555</v>
      </c>
      <c r="J38" s="28">
        <f t="shared" si="3"/>
        <v>201.64659604966499</v>
      </c>
      <c r="P38" s="25"/>
      <c r="Q38" s="1"/>
      <c r="R38" s="1"/>
      <c r="S38" s="28"/>
      <c r="T38" s="28"/>
    </row>
    <row r="39" spans="1:20" ht="14" x14ac:dyDescent="0.15">
      <c r="A39" s="43" t="s">
        <v>127</v>
      </c>
      <c r="B39">
        <f>'C-speciation'!F41</f>
        <v>281.84481249999999</v>
      </c>
      <c r="C39" s="48">
        <v>22.5449970682002</v>
      </c>
      <c r="D39" s="6">
        <f>(((C39/1000000)*((0.0013))*Volumes!B36/1000)*((Volumes!B36+Volumes!C36)/Volumes!C36))</f>
        <v>1.943153297308175E-10</v>
      </c>
      <c r="E39" s="6">
        <f>(((Volumes!B36+Volumes!C36)/Volumes!C36)*(Volumes!C36/1000*(C39/1000000)))/(0.082057*308.15)</f>
        <v>1.9704465086491356E-8</v>
      </c>
      <c r="F39" s="4">
        <f>(D39+E39)*(1000/Volumes!D36)*1000000</f>
        <v>3.9797560832444345</v>
      </c>
      <c r="G39">
        <f t="shared" si="0"/>
        <v>2.0031996985292477E-3</v>
      </c>
      <c r="H39" s="28">
        <f t="shared" si="1"/>
        <v>1986.6996216934226</v>
      </c>
      <c r="I39" s="25">
        <f t="shared" si="2"/>
        <v>1045.6313798386436</v>
      </c>
      <c r="J39" s="28">
        <f t="shared" si="3"/>
        <v>47.796870559765658</v>
      </c>
      <c r="P39" s="25"/>
      <c r="Q39" s="1"/>
      <c r="R39" s="1"/>
      <c r="S39" s="28"/>
      <c r="T39" s="28"/>
    </row>
    <row r="40" spans="1:20" ht="14" x14ac:dyDescent="0.15">
      <c r="A40" s="43" t="s">
        <v>128</v>
      </c>
      <c r="B40">
        <f>'C-speciation'!F42</f>
        <v>275.57840625</v>
      </c>
      <c r="C40" s="48">
        <v>2.0426855964581399</v>
      </c>
      <c r="D40" s="6">
        <f>(((C40/1000000)*((0.0013))*Volumes!B37/1000)*((Volumes!B37+Volumes!C37)/Volumes!C37))</f>
        <v>1.760590715587271E-11</v>
      </c>
      <c r="E40" s="6">
        <f>(((Volumes!B37+Volumes!C37)/Volumes!C37)*(Volumes!C37/1000*(C40/1000000)))/(0.082057*308.15)</f>
        <v>1.7853196829579987E-9</v>
      </c>
      <c r="F40" s="4">
        <f>(D40+E40)*(1000/Volumes!D37)*1000000</f>
        <v>0.36058511802277426</v>
      </c>
      <c r="G40">
        <f t="shared" si="0"/>
        <v>2.3811853168306057E-3</v>
      </c>
      <c r="H40" s="28">
        <f t="shared" si="1"/>
        <v>151.43093461651216</v>
      </c>
      <c r="I40" s="25">
        <f t="shared" si="2"/>
        <v>79.700491903427462</v>
      </c>
      <c r="J40" s="28">
        <f t="shared" si="3"/>
        <v>4.3306272674535187</v>
      </c>
      <c r="P40" s="25"/>
      <c r="Q40" s="1"/>
      <c r="R40" s="1"/>
      <c r="S40" s="28"/>
      <c r="T40" s="28"/>
    </row>
    <row r="41" spans="1:20" ht="15" x14ac:dyDescent="0.2">
      <c r="A41" s="29" t="s">
        <v>129</v>
      </c>
      <c r="B41">
        <f>'C-speciation'!F43</f>
        <v>275.14999999999998</v>
      </c>
      <c r="C41" s="48">
        <v>1.4196855726175901</v>
      </c>
      <c r="D41" s="6">
        <f>(((C41/1000000)*((0.0013))*Volumes!B38/1000)*((Volumes!B38+Volumes!C38)/Volumes!C38))</f>
        <v>1.2236269950391008E-11</v>
      </c>
      <c r="E41" s="6">
        <f>(((Volumes!B38+Volumes!C38)/Volumes!C38)*(Volumes!C38/1000*(C41/1000000)))/(0.082057*308.15)</f>
        <v>1.2408138583835268E-9</v>
      </c>
      <c r="F41" s="4">
        <f>(D41+E41)*(1000/Volumes!D38)*1000000</f>
        <v>0.25061002566678353</v>
      </c>
      <c r="G41">
        <f t="shared" si="0"/>
        <v>2.4114848528124858E-3</v>
      </c>
      <c r="H41" s="28">
        <f t="shared" si="1"/>
        <v>103.92353299441217</v>
      </c>
      <c r="I41" s="25">
        <f t="shared" si="2"/>
        <v>54.696596312848513</v>
      </c>
      <c r="J41" s="28">
        <f t="shared" si="3"/>
        <v>3.0098264082580704</v>
      </c>
      <c r="P41" s="25"/>
      <c r="Q41" s="1"/>
      <c r="R41" s="1"/>
      <c r="S41" s="28"/>
      <c r="T41" s="28"/>
    </row>
    <row r="42" spans="1:20" ht="15" x14ac:dyDescent="0.2">
      <c r="A42" s="29" t="s">
        <v>130</v>
      </c>
      <c r="B42">
        <f>'C-speciation'!F44</f>
        <v>275.94214583333331</v>
      </c>
      <c r="C42" s="48">
        <v>0.87230448241403702</v>
      </c>
      <c r="D42" s="6">
        <f>(((C42/1000000)*((0.0013))*Volumes!B39/1000)*((Volumes!B39+Volumes!C39)/Volumes!C39))</f>
        <v>7.5183923339265862E-12</v>
      </c>
      <c r="E42" s="6">
        <f>(((Volumes!B39+Volumes!C39)/Volumes!C39)*(Volumes!C39/1000*(C42/1000000)))/(0.082057*308.15)</f>
        <v>7.6239944350054756E-10</v>
      </c>
      <c r="F42" s="4">
        <f>(D42+E42)*(1000/Volumes!D39)*1000000</f>
        <v>0.15398356716689482</v>
      </c>
      <c r="G42">
        <f t="shared" si="0"/>
        <v>2.3559592889247465E-3</v>
      </c>
      <c r="H42" s="28">
        <f t="shared" si="1"/>
        <v>65.359179970029331</v>
      </c>
      <c r="I42" s="25">
        <f t="shared" si="2"/>
        <v>34.399568405278593</v>
      </c>
      <c r="J42" s="28">
        <f t="shared" si="3"/>
        <v>1.8493426416744068</v>
      </c>
      <c r="P42" s="25"/>
      <c r="Q42" s="1"/>
      <c r="R42" s="1"/>
      <c r="S42" s="28"/>
      <c r="T42" s="28"/>
    </row>
    <row r="43" spans="1:20" ht="15" x14ac:dyDescent="0.2">
      <c r="A43" s="29" t="s">
        <v>131</v>
      </c>
      <c r="B43">
        <f>'C-speciation'!F45</f>
        <v>275.14999999999998</v>
      </c>
      <c r="C43" s="48" t="s">
        <v>93</v>
      </c>
      <c r="D43" s="6" t="e">
        <f>(((C43/1000000)*((0.0013))*Volumes!B40/1000)*((Volumes!B40+Volumes!C40)/Volumes!C40))</f>
        <v>#VALUE!</v>
      </c>
      <c r="E43" s="6" t="e">
        <f>(((Volumes!B40+Volumes!C40)/Volumes!C40)*(Volumes!C40/1000*(C43/1000000)))/(0.082057*308.15)</f>
        <v>#VALUE!</v>
      </c>
      <c r="F43" s="4" t="e">
        <f>(D43+E43)*(1000/Volumes!D40)*1000000</f>
        <v>#VALUE!</v>
      </c>
      <c r="G43">
        <f t="shared" si="0"/>
        <v>2.4114848528124858E-3</v>
      </c>
      <c r="H43" s="28" t="e">
        <f t="shared" si="1"/>
        <v>#VALUE!</v>
      </c>
      <c r="I43" s="25" t="e">
        <f t="shared" si="2"/>
        <v>#VALUE!</v>
      </c>
      <c r="J43" s="28" t="e">
        <f t="shared" si="3"/>
        <v>#VALUE!</v>
      </c>
      <c r="P43" s="25"/>
      <c r="Q43" s="1"/>
      <c r="R43" s="1"/>
      <c r="S43" s="28"/>
      <c r="T43" s="28"/>
    </row>
    <row r="44" spans="1:20" ht="15" x14ac:dyDescent="0.2">
      <c r="A44" s="29" t="s">
        <v>132</v>
      </c>
      <c r="B44">
        <f>'C-speciation'!F46</f>
        <v>281.38583333333332</v>
      </c>
      <c r="C44" s="48">
        <v>4.6710595108220501</v>
      </c>
      <c r="D44" s="6">
        <f>(((C44/1000000)*((0.0013))*Volumes!B41/1000)*((Volumes!B41+Volumes!C41)/Volumes!C41))</f>
        <v>4.0259861923775251E-11</v>
      </c>
      <c r="E44" s="6">
        <f>(((Volumes!B41+Volumes!C41)/Volumes!C41)*(Volumes!C41/1000*(C44/1000000)))/(0.082057*308.15)</f>
        <v>4.0825345316961819E-9</v>
      </c>
      <c r="F44" s="4">
        <f>(D44+E44)*(1000/Volumes!D41)*1000000</f>
        <v>0.82455887872399147</v>
      </c>
      <c r="G44">
        <f t="shared" si="0"/>
        <v>2.0272054795225066E-3</v>
      </c>
      <c r="H44" s="28">
        <f t="shared" si="1"/>
        <v>406.74657159974248</v>
      </c>
      <c r="I44" s="25">
        <f t="shared" si="2"/>
        <v>214.07714294723289</v>
      </c>
      <c r="J44" s="28">
        <f t="shared" si="3"/>
        <v>9.9029521334751376</v>
      </c>
      <c r="P44" s="25"/>
      <c r="Q44" s="1"/>
      <c r="R44" s="1"/>
      <c r="S44" s="28"/>
      <c r="T44" s="28"/>
    </row>
    <row r="45" spans="1:20" ht="15" x14ac:dyDescent="0.2">
      <c r="A45" s="29" t="s">
        <v>133</v>
      </c>
      <c r="B45">
        <f>'C-speciation'!F47</f>
        <v>275.14999999999998</v>
      </c>
      <c r="C45" s="48">
        <v>0.71</v>
      </c>
      <c r="D45" s="6">
        <f>(((C45/1000000)*((0.0013))*Volumes!B42/1000)*((Volumes!B42+Volumes!C42)/Volumes!C42))</f>
        <v>6.1194899999999994E-12</v>
      </c>
      <c r="E45" s="6">
        <f>(((Volumes!B42+Volumes!C42)/Volumes!C42)*(Volumes!C42/1000*(C45/1000000)))/(0.082057*308.15)</f>
        <v>6.2054433491774763E-10</v>
      </c>
      <c r="F45" s="4">
        <f>(D45+E45)*(1000/Volumes!D42)*1000000</f>
        <v>0.12533276498354953</v>
      </c>
      <c r="G45">
        <f t="shared" si="0"/>
        <v>2.4114848528124858E-3</v>
      </c>
      <c r="H45" s="28">
        <f t="shared" si="1"/>
        <v>51.973274821683177</v>
      </c>
      <c r="I45" s="25">
        <f t="shared" si="2"/>
        <v>27.354355169306935</v>
      </c>
      <c r="J45" s="28">
        <f t="shared" si="3"/>
        <v>1.5052465074524299</v>
      </c>
      <c r="P45" s="25"/>
      <c r="Q45" s="1"/>
      <c r="R45" s="1"/>
      <c r="S45" s="28"/>
      <c r="T45" s="28"/>
    </row>
    <row r="46" spans="1:20" ht="15" x14ac:dyDescent="0.2">
      <c r="A46" s="29" t="s">
        <v>134</v>
      </c>
      <c r="B46">
        <f>'C-speciation'!F48</f>
        <v>286.00937499999998</v>
      </c>
      <c r="C46" s="48">
        <v>5.8634425595111503</v>
      </c>
      <c r="D46" s="6">
        <f>(((C46/1000000)*((0.0013))*Volumes!B43/1000)*((Volumes!B43+Volumes!C43)/Volumes!C43))</f>
        <v>5.0537011420426593E-11</v>
      </c>
      <c r="E46" s="6">
        <f>(((Volumes!B43+Volumes!C43)/Volumes!C43)*(Volumes!C43/1000*(C46/1000000)))/(0.082057*308.15)</f>
        <v>5.1246845963665661E-9</v>
      </c>
      <c r="F46" s="4">
        <f>(D46+E46)*(1000/Volumes!D43)*1000000</f>
        <v>1.0350443215573986</v>
      </c>
      <c r="G46">
        <f t="shared" si="0"/>
        <v>1.8072770566149637E-3</v>
      </c>
      <c r="H46" s="28">
        <f t="shared" si="1"/>
        <v>572.70926876925012</v>
      </c>
      <c r="I46" s="25">
        <f t="shared" si="2"/>
        <v>301.42593093118427</v>
      </c>
      <c r="J46" s="28">
        <f t="shared" si="3"/>
        <v>12.430882301904356</v>
      </c>
      <c r="P46" s="25"/>
      <c r="Q46" s="1"/>
      <c r="R46" s="1"/>
      <c r="S46" s="28"/>
      <c r="T46" s="28"/>
    </row>
    <row r="47" spans="1:20" ht="15" x14ac:dyDescent="0.2">
      <c r="A47" s="29" t="s">
        <v>135</v>
      </c>
      <c r="B47">
        <f>'C-speciation'!F49</f>
        <v>275.14999999999998</v>
      </c>
      <c r="C47" s="48">
        <v>1.24525872985353</v>
      </c>
      <c r="D47" s="6">
        <f>(((C47/1000000)*((0.0013))*Volumes!B44/1000)*((Volumes!B44+Volumes!C44)/Volumes!C44))</f>
        <v>1.0732884992607574E-11</v>
      </c>
      <c r="E47" s="6">
        <f>(((Volumes!B44+Volumes!C44)/Volumes!C44)*(Volumes!C44/1000*(C47/1000000)))/(0.082057*308.15)</f>
        <v>1.088363732841518E-9</v>
      </c>
      <c r="F47" s="4">
        <f>(D47+E47)*(1000/Volumes!D44)*1000000</f>
        <v>0.21981932356682513</v>
      </c>
      <c r="G47">
        <f t="shared" si="0"/>
        <v>2.4114848528124858E-3</v>
      </c>
      <c r="H47" s="28">
        <f t="shared" si="1"/>
        <v>91.155174916588209</v>
      </c>
      <c r="I47" s="25">
        <f t="shared" si="2"/>
        <v>47.976407850835905</v>
      </c>
      <c r="J47" s="28">
        <f t="shared" si="3"/>
        <v>2.6400300760375699</v>
      </c>
      <c r="P47" s="25"/>
      <c r="Q47" s="1"/>
      <c r="R47" s="1"/>
      <c r="S47" s="28"/>
      <c r="T47" s="28"/>
    </row>
    <row r="48" spans="1:20" ht="15" x14ac:dyDescent="0.2">
      <c r="A48" s="29" t="s">
        <v>136</v>
      </c>
      <c r="B48">
        <f>'C-speciation'!F50</f>
        <v>275.14999999999998</v>
      </c>
      <c r="C48" s="48" t="s">
        <v>93</v>
      </c>
      <c r="D48" s="6" t="e">
        <f>(((C48/1000000)*((0.0013))*Volumes!B45/1000)*((Volumes!B45+Volumes!C45)/Volumes!C45))</f>
        <v>#VALUE!</v>
      </c>
      <c r="E48" s="6" t="e">
        <f>(((Volumes!B45+Volumes!C45)/Volumes!C45)*(Volumes!C45/1000*(C48/1000000)))/(0.082057*308.15)</f>
        <v>#VALUE!</v>
      </c>
      <c r="F48" s="4" t="e">
        <f>(D48+E48)*(1000/Volumes!D45)*1000000</f>
        <v>#VALUE!</v>
      </c>
      <c r="G48">
        <f t="shared" si="0"/>
        <v>2.4114848528124858E-3</v>
      </c>
      <c r="H48" s="28" t="e">
        <f t="shared" si="1"/>
        <v>#VALUE!</v>
      </c>
      <c r="I48" s="25" t="e">
        <f t="shared" si="2"/>
        <v>#VALUE!</v>
      </c>
      <c r="J48" s="28" t="e">
        <f t="shared" si="3"/>
        <v>#VALUE!</v>
      </c>
      <c r="P48" s="25"/>
      <c r="Q48" s="1"/>
      <c r="R48" s="1"/>
      <c r="S48" s="28"/>
      <c r="T48" s="28"/>
    </row>
    <row r="49" spans="1:20" ht="15" x14ac:dyDescent="0.2">
      <c r="A49" s="29" t="s">
        <v>137</v>
      </c>
      <c r="B49">
        <f>'C-speciation'!F51</f>
        <v>275.14999999999998</v>
      </c>
      <c r="C49" s="48" t="s">
        <v>93</v>
      </c>
      <c r="D49" s="6" t="e">
        <f>(((C49/1000000)*((0.0013))*Volumes!B46/1000)*((Volumes!B46+Volumes!C46)/Volumes!C46))</f>
        <v>#VALUE!</v>
      </c>
      <c r="E49" s="6" t="e">
        <f>(((Volumes!B46+Volumes!C46)/Volumes!C46)*(Volumes!C46/1000*(C49/1000000)))/(0.082057*308.15)</f>
        <v>#VALUE!</v>
      </c>
      <c r="F49" s="4" t="e">
        <f>(D49+E49)*(1000/Volumes!D46)*1000000</f>
        <v>#VALUE!</v>
      </c>
      <c r="G49">
        <f t="shared" si="0"/>
        <v>2.4114848528124858E-3</v>
      </c>
      <c r="H49" s="28" t="e">
        <f t="shared" si="1"/>
        <v>#VALUE!</v>
      </c>
      <c r="I49" s="25" t="e">
        <f t="shared" si="2"/>
        <v>#VALUE!</v>
      </c>
      <c r="J49" s="28" t="e">
        <f t="shared" si="3"/>
        <v>#VALUE!</v>
      </c>
      <c r="P49" s="25"/>
      <c r="Q49" s="1"/>
      <c r="R49" s="1"/>
      <c r="S49" s="28"/>
      <c r="T49" s="28"/>
    </row>
    <row r="50" spans="1:20" ht="15" x14ac:dyDescent="0.2">
      <c r="A50" s="29" t="s">
        <v>138</v>
      </c>
      <c r="B50">
        <f>'C-speciation'!F52</f>
        <v>281.86470833333328</v>
      </c>
      <c r="C50" s="48">
        <v>3.2957867898027202</v>
      </c>
      <c r="D50" s="6">
        <f>(((C50/1000000)*((0.0013))*Volumes!B47/1000)*((Volumes!B47+Volumes!C47)/Volumes!C47))</f>
        <v>2.8406386341309645E-11</v>
      </c>
      <c r="E50" s="6">
        <f>(((Volumes!B47+Volumes!C47)/Volumes!C47)*(Volumes!C47/1000*(C50/1000000)))/(0.082057*308.15)</f>
        <v>2.8805377767729965E-9</v>
      </c>
      <c r="F50" s="4">
        <f>(D50+E50)*(1000/Volumes!D47)*1000000</f>
        <v>0.5817888326228613</v>
      </c>
      <c r="G50">
        <f t="shared" si="0"/>
        <v>2.0021707563625708E-3</v>
      </c>
      <c r="H50" s="28">
        <f t="shared" si="1"/>
        <v>290.57902817431113</v>
      </c>
      <c r="I50" s="25">
        <f t="shared" si="2"/>
        <v>152.93633061805849</v>
      </c>
      <c r="J50" s="28">
        <f t="shared" si="3"/>
        <v>6.9872838798005636</v>
      </c>
      <c r="P50" s="25"/>
      <c r="Q50" s="1"/>
      <c r="R50" s="1"/>
      <c r="S50" s="28"/>
      <c r="T50" s="28"/>
    </row>
    <row r="51" spans="1:20" ht="15" x14ac:dyDescent="0.2">
      <c r="A51" s="29" t="s">
        <v>139</v>
      </c>
      <c r="B51">
        <f>'C-speciation'!F53</f>
        <v>275.14999999999998</v>
      </c>
      <c r="C51" s="48">
        <v>1.1738436991829899</v>
      </c>
      <c r="D51" s="6">
        <f>(((C51/1000000)*((0.0013))*Volumes!B48/1000)*((Volumes!B48+Volumes!C48)/Volumes!C48))</f>
        <v>1.0117358843258191E-11</v>
      </c>
      <c r="E51" s="6">
        <f>(((Volumes!B48+Volumes!C48)/Volumes!C48)*(Volumes!C48/1000*(C51/1000000)))/(0.082057*308.15)</f>
        <v>1.0259465600097141E-9</v>
      </c>
      <c r="F51" s="4">
        <f>(D51+E51)*(1000/Volumes!D48)*1000000</f>
        <v>0.20721278377059446</v>
      </c>
      <c r="G51">
        <f t="shared" si="0"/>
        <v>2.4114848528124858E-3</v>
      </c>
      <c r="H51" s="28">
        <f t="shared" si="1"/>
        <v>85.927466444139043</v>
      </c>
      <c r="I51" s="25">
        <f t="shared" si="2"/>
        <v>45.224982339020549</v>
      </c>
      <c r="J51" s="28">
        <f t="shared" si="3"/>
        <v>2.4886255330848392</v>
      </c>
      <c r="P51" s="25"/>
      <c r="Q51" s="1"/>
      <c r="R51" s="1"/>
      <c r="S51" s="28"/>
      <c r="T51" s="28"/>
    </row>
    <row r="52" spans="1:20" ht="15" x14ac:dyDescent="0.2">
      <c r="A52" s="29" t="s">
        <v>140</v>
      </c>
      <c r="B52">
        <f>'C-speciation'!F54</f>
        <v>275.14999999999998</v>
      </c>
      <c r="C52" s="48">
        <v>0.93390234310324605</v>
      </c>
      <c r="D52" s="6">
        <f>(((C52/1000000)*((0.0013))*Volumes!B49/1000)*((Volumes!B49+Volumes!C49)/Volumes!C49))</f>
        <v>8.0493042952068758E-12</v>
      </c>
      <c r="E52" s="6">
        <f>(((Volumes!B49+Volumes!C49)/Volumes!C49)*(Volumes!C49/1000*(C52/1000000)))/(0.082057*308.15)</f>
        <v>8.1623634982976048E-10</v>
      </c>
      <c r="F52" s="4">
        <f>(D52+E52)*(1000/Volumes!D49)*1000000</f>
        <v>0.16485713082499348</v>
      </c>
      <c r="G52">
        <f t="shared" si="0"/>
        <v>2.4114848528124858E-3</v>
      </c>
      <c r="H52" s="28">
        <f t="shared" si="1"/>
        <v>68.363328358758963</v>
      </c>
      <c r="I52" s="25">
        <f t="shared" si="2"/>
        <v>35.980699136188932</v>
      </c>
      <c r="J52" s="28">
        <f t="shared" si="3"/>
        <v>1.9799341412081717</v>
      </c>
      <c r="P52" s="25"/>
      <c r="Q52" s="1"/>
      <c r="R52" s="1"/>
      <c r="S52" s="28"/>
      <c r="T52" s="28"/>
    </row>
    <row r="53" spans="1:20" ht="15" x14ac:dyDescent="0.2">
      <c r="A53" s="29" t="s">
        <v>141</v>
      </c>
      <c r="B53">
        <f>'C-speciation'!F55</f>
        <v>275.14999999999998</v>
      </c>
      <c r="C53" s="48">
        <v>1.1559592825979601</v>
      </c>
      <c r="D53" s="6">
        <f>(((C53/1000000)*((0.0013))*Volumes!B50/1000)*((Volumes!B50+Volumes!C50)/Volumes!C50))</f>
        <v>9.9632130567118183E-12</v>
      </c>
      <c r="E53" s="6">
        <f>(((Volumes!B50+Volumes!C50)/Volumes!C50)*(Volumes!C50/1000*(C53/1000000)))/(0.082057*308.15)</f>
        <v>1.0103154707207714E-9</v>
      </c>
      <c r="F53" s="4">
        <f>(D53+E53)*(1000/Volumes!D50)*1000000</f>
        <v>0.20405573675549665</v>
      </c>
      <c r="G53">
        <f t="shared" si="0"/>
        <v>2.4114848528124858E-3</v>
      </c>
      <c r="H53" s="28">
        <f t="shared" si="1"/>
        <v>84.618295038224645</v>
      </c>
      <c r="I53" s="25">
        <f t="shared" si="2"/>
        <v>44.53594475696034</v>
      </c>
      <c r="J53" s="28">
        <f t="shared" si="3"/>
        <v>2.4507093984335149</v>
      </c>
      <c r="P53" s="25"/>
      <c r="Q53" s="1"/>
      <c r="R53" s="1"/>
      <c r="S53" s="28"/>
      <c r="T53" s="28"/>
    </row>
    <row r="54" spans="1:20" ht="15" x14ac:dyDescent="0.2">
      <c r="A54" s="29" t="s">
        <v>142</v>
      </c>
      <c r="B54">
        <f>'C-speciation'!F56</f>
        <v>275.14999999999998</v>
      </c>
      <c r="C54" s="48">
        <v>2.0082715228699501</v>
      </c>
      <c r="D54" s="6">
        <f>(((C54/1000000)*((0.0013))*Volumes!B51/1000)*((Volumes!B51+Volumes!C51)/Volumes!C51))</f>
        <v>1.7309292255616097E-11</v>
      </c>
      <c r="E54" s="6">
        <f>(((Volumes!B51+Volumes!C51)/Volumes!C51)*(Volumes!C51/1000*(C54/1000000)))/(0.082057*308.15)</f>
        <v>1.7552415725261765E-9</v>
      </c>
      <c r="F54" s="4">
        <f>(D54+E54)*(1000/Volumes!D51)*1000000</f>
        <v>0.3545101729563585</v>
      </c>
      <c r="G54">
        <f t="shared" si="0"/>
        <v>2.4114848528124858E-3</v>
      </c>
      <c r="H54" s="28">
        <f t="shared" si="1"/>
        <v>147.00908137278887</v>
      </c>
      <c r="I54" s="25">
        <f t="shared" si="2"/>
        <v>77.373200722520465</v>
      </c>
      <c r="J54" s="28">
        <f t="shared" si="3"/>
        <v>4.2576671772058656</v>
      </c>
      <c r="P54" s="25"/>
      <c r="Q54" s="1"/>
      <c r="R54" s="1"/>
      <c r="S54" s="28"/>
      <c r="T54" s="28"/>
    </row>
    <row r="55" spans="1:20" ht="15" x14ac:dyDescent="0.2">
      <c r="A55" s="29" t="s">
        <v>143</v>
      </c>
      <c r="B55">
        <f>'C-speciation'!F57</f>
        <v>275.14999999999998</v>
      </c>
      <c r="C55" s="48" t="s">
        <v>93</v>
      </c>
      <c r="D55" s="6" t="e">
        <f>(((C55/1000000)*((0.0013))*Volumes!B52/1000)*((Volumes!B52+Volumes!C52)/Volumes!C52))</f>
        <v>#VALUE!</v>
      </c>
      <c r="E55" s="6" t="e">
        <f>(((Volumes!B52+Volumes!C52)/Volumes!C52)*(Volumes!C52/1000*(C55/1000000)))/(0.082057*308.15)</f>
        <v>#VALUE!</v>
      </c>
      <c r="F55" s="4" t="e">
        <f>(D55+E55)*(1000/Volumes!D52)*1000000</f>
        <v>#VALUE!</v>
      </c>
      <c r="G55">
        <f t="shared" si="0"/>
        <v>2.4114848528124858E-3</v>
      </c>
      <c r="H55" s="28" t="e">
        <f t="shared" si="1"/>
        <v>#VALUE!</v>
      </c>
      <c r="I55" s="25" t="e">
        <f t="shared" si="2"/>
        <v>#VALUE!</v>
      </c>
      <c r="J55" s="28" t="e">
        <f t="shared" si="3"/>
        <v>#VALUE!</v>
      </c>
      <c r="P55" s="25"/>
      <c r="Q55" s="1"/>
      <c r="R55" s="1"/>
      <c r="S55" s="28"/>
      <c r="T55" s="28"/>
    </row>
    <row r="56" spans="1:20" ht="15" x14ac:dyDescent="0.2">
      <c r="A56" s="29" t="s">
        <v>144</v>
      </c>
      <c r="B56">
        <f>'C-speciation'!F58</f>
        <v>276.49512499999997</v>
      </c>
      <c r="C56" s="48">
        <v>3.0408458129315998</v>
      </c>
      <c r="D56" s="6">
        <f>(((C56/1000000)*((0.0013))*Volumes!B53/1000)*((Volumes!B53+Volumes!C53)/Volumes!C53))</f>
        <v>2.6209050061657458E-11</v>
      </c>
      <c r="E56" s="6">
        <f>(((Volumes!B53+Volumes!C53)/Volumes!C53)*(Volumes!C53/1000*(C56/1000000)))/(0.082057*308.15)</f>
        <v>2.6577178064409253E-9</v>
      </c>
      <c r="F56" s="4">
        <f>(D56+E56)*(1000/Volumes!D53)*1000000</f>
        <v>0.53678537130051651</v>
      </c>
      <c r="G56">
        <f t="shared" si="0"/>
        <v>2.318465836493411E-3</v>
      </c>
      <c r="H56" s="28">
        <f t="shared" si="1"/>
        <v>231.52610784741319</v>
      </c>
      <c r="I56" s="25">
        <f t="shared" si="2"/>
        <v>121.85584623548063</v>
      </c>
      <c r="J56" s="28">
        <f t="shared" si="3"/>
        <v>6.4467923093192034</v>
      </c>
      <c r="P56" s="25"/>
      <c r="Q56" s="1"/>
      <c r="R56" s="1"/>
      <c r="S56" s="28"/>
      <c r="T56" s="28"/>
    </row>
    <row r="57" spans="1:20" ht="15" x14ac:dyDescent="0.2">
      <c r="A57" s="29" t="s">
        <v>145</v>
      </c>
      <c r="B57">
        <f>'C-speciation'!F59</f>
        <v>275.14999999999998</v>
      </c>
      <c r="C57" s="48" t="s">
        <v>93</v>
      </c>
      <c r="D57" s="6" t="e">
        <f>(((C57/1000000)*((0.0013))*Volumes!B54/1000)*((Volumes!B54+Volumes!C54)/Volumes!C54))</f>
        <v>#VALUE!</v>
      </c>
      <c r="E57" s="6" t="e">
        <f>(((Volumes!B54+Volumes!C54)/Volumes!C54)*(Volumes!C54/1000*(C57/1000000)))/(0.082057*308.15)</f>
        <v>#VALUE!</v>
      </c>
      <c r="F57" s="4" t="e">
        <f>(D57+E57)*(1000/Volumes!D54)*1000000</f>
        <v>#VALUE!</v>
      </c>
      <c r="G57">
        <f t="shared" si="0"/>
        <v>2.4114848528124858E-3</v>
      </c>
      <c r="H57" s="28" t="e">
        <f t="shared" si="1"/>
        <v>#VALUE!</v>
      </c>
      <c r="I57" s="25" t="e">
        <f t="shared" si="2"/>
        <v>#VALUE!</v>
      </c>
      <c r="J57" s="28" t="e">
        <f t="shared" si="3"/>
        <v>#VALUE!</v>
      </c>
      <c r="P57" s="25"/>
      <c r="Q57" s="1"/>
      <c r="R57" s="1"/>
      <c r="S57" s="28"/>
      <c r="T57" s="28"/>
    </row>
    <row r="58" spans="1:20" ht="15" x14ac:dyDescent="0.2">
      <c r="A58" s="29" t="s">
        <v>146</v>
      </c>
      <c r="B58">
        <f>'C-speciation'!F60</f>
        <v>275.14999999999998</v>
      </c>
      <c r="C58" s="48" t="s">
        <v>93</v>
      </c>
      <c r="D58" s="6" t="e">
        <f>(((C58/1000000)*((0.0013))*Volumes!B55/1000)*((Volumes!B55+Volumes!C55)/Volumes!C55))</f>
        <v>#VALUE!</v>
      </c>
      <c r="E58" s="6" t="e">
        <f>(((Volumes!B55+Volumes!C55)/Volumes!C55)*(Volumes!C55/1000*(C58/1000000)))/(0.082057*308.15)</f>
        <v>#VALUE!</v>
      </c>
      <c r="F58" s="4" t="e">
        <f>(D58+E58)*(1000/Volumes!D55)*1000000</f>
        <v>#VALUE!</v>
      </c>
      <c r="G58">
        <f t="shared" si="0"/>
        <v>2.4114848528124858E-3</v>
      </c>
      <c r="H58" s="28" t="e">
        <f t="shared" si="1"/>
        <v>#VALUE!</v>
      </c>
      <c r="I58" s="25" t="e">
        <f t="shared" si="2"/>
        <v>#VALUE!</v>
      </c>
      <c r="J58" s="28" t="e">
        <f t="shared" si="3"/>
        <v>#VALUE!</v>
      </c>
      <c r="P58" s="25"/>
      <c r="Q58" s="1"/>
      <c r="R58" s="1"/>
      <c r="S58" s="28"/>
      <c r="T58" s="28"/>
    </row>
    <row r="59" spans="1:20" ht="15" x14ac:dyDescent="0.2">
      <c r="A59" s="29" t="s">
        <v>147</v>
      </c>
      <c r="B59">
        <f>'C-speciation'!F61</f>
        <v>275.14999999999998</v>
      </c>
      <c r="C59" s="48" t="s">
        <v>93</v>
      </c>
      <c r="D59" s="6" t="e">
        <f>(((C59/1000000)*((0.0013))*Volumes!B56/1000)*((Volumes!B56+Volumes!C56)/Volumes!C56))</f>
        <v>#VALUE!</v>
      </c>
      <c r="E59" s="6" t="e">
        <f>(((Volumes!B56+Volumes!C56)/Volumes!C56)*(Volumes!C56/1000*(C59/1000000)))/(0.082057*308.15)</f>
        <v>#VALUE!</v>
      </c>
      <c r="F59" s="4" t="e">
        <f>(D59+E59)*(1000/Volumes!D56)*1000000</f>
        <v>#VALUE!</v>
      </c>
      <c r="G59">
        <f t="shared" si="0"/>
        <v>2.4114848528124858E-3</v>
      </c>
      <c r="H59" s="28" t="e">
        <f t="shared" si="1"/>
        <v>#VALUE!</v>
      </c>
      <c r="I59" s="25" t="e">
        <f t="shared" si="2"/>
        <v>#VALUE!</v>
      </c>
      <c r="J59" s="28" t="e">
        <f t="shared" si="3"/>
        <v>#VALUE!</v>
      </c>
      <c r="P59" s="25"/>
      <c r="Q59" s="1"/>
      <c r="R59" s="1"/>
      <c r="S59" s="28"/>
      <c r="T59" s="28"/>
    </row>
    <row r="60" spans="1:20" ht="15" x14ac:dyDescent="0.2">
      <c r="A60" s="29" t="s">
        <v>148</v>
      </c>
      <c r="B60">
        <f>'C-speciation'!F62</f>
        <v>282.12254166666662</v>
      </c>
      <c r="C60" s="48" t="s">
        <v>93</v>
      </c>
      <c r="D60" s="6" t="e">
        <f>(((C60/1000000)*((0.0013))*Volumes!B57/1000)*((Volumes!B57+Volumes!C57)/Volumes!C57))</f>
        <v>#VALUE!</v>
      </c>
      <c r="E60" s="6" t="e">
        <f>(((Volumes!B57+Volumes!C57)/Volumes!C57)*(Volumes!C57/1000*(C60/1000000)))/(0.082057*308.15)</f>
        <v>#VALUE!</v>
      </c>
      <c r="F60" s="4" t="e">
        <f>(D60+E60)*(1000/Volumes!D57)*1000000</f>
        <v>#VALUE!</v>
      </c>
      <c r="G60">
        <f t="shared" si="0"/>
        <v>1.9889229920424922E-3</v>
      </c>
      <c r="H60" s="28" t="e">
        <f t="shared" si="1"/>
        <v>#VALUE!</v>
      </c>
      <c r="I60" s="25" t="e">
        <f t="shared" si="2"/>
        <v>#VALUE!</v>
      </c>
      <c r="J60" s="28" t="e">
        <f t="shared" si="3"/>
        <v>#VALUE!</v>
      </c>
      <c r="P60" s="25"/>
      <c r="Q60" s="1"/>
      <c r="R60" s="1"/>
      <c r="S60" s="28"/>
      <c r="T60" s="28"/>
    </row>
    <row r="61" spans="1:20" ht="15" x14ac:dyDescent="0.2">
      <c r="A61" s="29" t="s">
        <v>149</v>
      </c>
      <c r="B61">
        <f>'C-speciation'!F63</f>
        <v>275.14999999999998</v>
      </c>
      <c r="C61" s="48">
        <v>0.68352553850588205</v>
      </c>
      <c r="D61" s="6">
        <f>(((C61/1000000)*((0.0013))*Volumes!B58/1000)*((Volumes!B58+Volumes!C58)/Volumes!C58))</f>
        <v>5.8913066163821972E-12</v>
      </c>
      <c r="E61" s="6">
        <f>(((Volumes!B58+Volumes!C58)/Volumes!C58)*(Volumes!C58/1000*(C61/1000000)))/(0.082057*308.15)</f>
        <v>5.974054939315886E-10</v>
      </c>
      <c r="F61" s="4">
        <f>(D61+E61)*(1000/Volumes!D58)*1000000</f>
        <v>0.12065936010959416</v>
      </c>
      <c r="G61">
        <f t="shared" si="0"/>
        <v>2.4114848528124858E-3</v>
      </c>
      <c r="H61" s="28">
        <f t="shared" si="1"/>
        <v>50.035296704796053</v>
      </c>
      <c r="I61" s="25">
        <f t="shared" si="2"/>
        <v>26.334366686734768</v>
      </c>
      <c r="J61" s="28">
        <f t="shared" si="3"/>
        <v>1.4491189149162258</v>
      </c>
      <c r="P61" s="25"/>
      <c r="Q61" s="1"/>
      <c r="R61" s="1"/>
      <c r="S61" s="28"/>
      <c r="T61" s="28"/>
    </row>
    <row r="62" spans="1:20" ht="15" x14ac:dyDescent="0.2">
      <c r="A62" s="29" t="s">
        <v>150</v>
      </c>
      <c r="B62">
        <f>'C-speciation'!F64</f>
        <v>275.14999999999998</v>
      </c>
      <c r="C62" s="48">
        <v>0.49968229428230498</v>
      </c>
      <c r="D62" s="6">
        <f>(((C62/1000000)*((0.0013))*Volumes!B59/1000)*((Volumes!B59+Volumes!C59)/Volumes!C59))</f>
        <v>4.306761694419186E-12</v>
      </c>
      <c r="E62" s="6">
        <f>(((Volumes!B59+Volumes!C59)/Volumes!C59)*(Volumes!C59/1000*(C62/1000000)))/(0.082057*308.15)</f>
        <v>4.3672537602195381E-10</v>
      </c>
      <c r="F62" s="4">
        <f>(D62+E62)*(1000/Volumes!D59)*1000000</f>
        <v>8.8206427543274596E-2</v>
      </c>
      <c r="G62">
        <f t="shared" si="0"/>
        <v>2.4114848528124858E-3</v>
      </c>
      <c r="H62" s="28">
        <f t="shared" si="1"/>
        <v>36.577641132765358</v>
      </c>
      <c r="I62" s="25">
        <f t="shared" si="2"/>
        <v>19.251390069876503</v>
      </c>
      <c r="J62" s="28">
        <f t="shared" si="3"/>
        <v>1.0593591947947278</v>
      </c>
      <c r="P62" s="25"/>
      <c r="Q62" s="1"/>
      <c r="R62" s="1"/>
      <c r="S62" s="28"/>
      <c r="T62" s="28"/>
    </row>
    <row r="63" spans="1:20" ht="15" x14ac:dyDescent="0.2">
      <c r="A63" s="29" t="s">
        <v>151</v>
      </c>
      <c r="B63">
        <f>'C-speciation'!F65</f>
        <v>284.3696875</v>
      </c>
      <c r="C63" s="48">
        <v>1</v>
      </c>
      <c r="D63" s="6">
        <f>(((C63/1000000)*((0.0013))*Volumes!B60/1000)*((Volumes!B60+Volumes!C60)/Volumes!C60))</f>
        <v>8.6189999999999995E-12</v>
      </c>
      <c r="E63" s="6">
        <f>(((Volumes!B60+Volumes!C60)/Volumes!C60)*(Volumes!C60/1000*(C63/1000000)))/(0.082057*308.15)</f>
        <v>8.7400610551795432E-10</v>
      </c>
      <c r="F63" s="4">
        <f>(D63+E63)*(1000/Volumes!D60)*1000000</f>
        <v>0.17652502110359086</v>
      </c>
      <c r="G63">
        <f t="shared" si="0"/>
        <v>1.8799573398069886E-3</v>
      </c>
      <c r="H63" s="28">
        <f t="shared" si="1"/>
        <v>93.898418525664169</v>
      </c>
      <c r="I63" s="25">
        <f t="shared" si="2"/>
        <v>49.420220276665354</v>
      </c>
      <c r="J63" s="28">
        <f t="shared" si="3"/>
        <v>2.1200655034541263</v>
      </c>
      <c r="P63" s="25"/>
      <c r="Q63" s="1"/>
      <c r="R63" s="1"/>
      <c r="S63" s="28"/>
      <c r="T63" s="28"/>
    </row>
    <row r="64" spans="1:20" ht="15" x14ac:dyDescent="0.2">
      <c r="A64" s="29" t="s">
        <v>152</v>
      </c>
      <c r="B64">
        <f>'C-speciation'!F66</f>
        <v>282.9289583333333</v>
      </c>
      <c r="C64" s="48">
        <v>8.7100000000000009</v>
      </c>
      <c r="D64" s="6">
        <f>(((C64/1000000)*((0.0013))*Volumes!B61/1000)*((Volumes!B61+Volumes!C61)/Volumes!C61))</f>
        <v>7.5071490000000013E-11</v>
      </c>
      <c r="E64" s="6">
        <f>(((Volumes!B61+Volumes!C61)/Volumes!C61)*(Volumes!C61/1000*(C64/1000000)))/(0.082057*308.15)</f>
        <v>7.6125931790613847E-9</v>
      </c>
      <c r="F64" s="4">
        <f>(D64+E64)*(1000/Volumes!D61)*1000000</f>
        <v>1.5375329338122772</v>
      </c>
      <c r="G64">
        <f t="shared" si="0"/>
        <v>1.9485044769964675E-3</v>
      </c>
      <c r="H64" s="28">
        <f t="shared" si="1"/>
        <v>789.08360332962411</v>
      </c>
      <c r="I64" s="25">
        <f t="shared" si="2"/>
        <v>415.30715964717058</v>
      </c>
      <c r="J64" s="28">
        <f t="shared" si="3"/>
        <v>18.465770535085447</v>
      </c>
      <c r="P64" s="25"/>
      <c r="Q64" s="1"/>
      <c r="R64" s="1"/>
      <c r="S64" s="28"/>
      <c r="T64" s="28"/>
    </row>
    <row r="65" spans="1:20" ht="15" x14ac:dyDescent="0.2">
      <c r="A65" s="29" t="s">
        <v>153</v>
      </c>
      <c r="B65">
        <f>'C-speciation'!F67</f>
        <v>282.86077083333333</v>
      </c>
      <c r="C65" s="48" t="s">
        <v>93</v>
      </c>
      <c r="D65" s="6" t="e">
        <f>(((C65/1000000)*((0.0013))*Volumes!B62/1000)*((Volumes!B62+Volumes!C62)/Volumes!C62))</f>
        <v>#VALUE!</v>
      </c>
      <c r="E65" s="6" t="e">
        <f>(((Volumes!B62+Volumes!C62)/Volumes!C62)*(Volumes!C62/1000*(C65/1000000)))/(0.082057*308.15)</f>
        <v>#VALUE!</v>
      </c>
      <c r="F65" s="4" t="e">
        <f>(D65+E65)*(1000/Volumes!D62)*1000000</f>
        <v>#VALUE!</v>
      </c>
      <c r="G65">
        <f t="shared" si="0"/>
        <v>1.9518635867745594E-3</v>
      </c>
      <c r="H65" s="28" t="e">
        <f t="shared" si="1"/>
        <v>#VALUE!</v>
      </c>
      <c r="I65" s="25" t="e">
        <f t="shared" si="2"/>
        <v>#VALUE!</v>
      </c>
      <c r="J65" s="28" t="e">
        <f t="shared" si="3"/>
        <v>#VALUE!</v>
      </c>
      <c r="P65" s="25"/>
      <c r="Q65" s="1"/>
      <c r="R65" s="1"/>
      <c r="S65" s="28"/>
      <c r="T65" s="28"/>
    </row>
    <row r="66" spans="1:20" ht="15" x14ac:dyDescent="0.2">
      <c r="A66" s="29" t="s">
        <v>154</v>
      </c>
      <c r="B66">
        <f>'C-speciation'!F68</f>
        <v>284.7663541666667</v>
      </c>
      <c r="C66" s="48" t="s">
        <v>93</v>
      </c>
      <c r="D66" s="6" t="e">
        <f>(((C66/1000000)*((0.0013))*Volumes!B63/1000)*((Volumes!B63+Volumes!C63)/Volumes!C63))</f>
        <v>#VALUE!</v>
      </c>
      <c r="E66" s="6" t="e">
        <f>(((Volumes!B63+Volumes!C63)/Volumes!C63)*(Volumes!C63/1000*(C66/1000000)))/(0.082057*308.15)</f>
        <v>#VALUE!</v>
      </c>
      <c r="F66" s="4" t="e">
        <f>(D66+E66)*(1000/Volumes!D63)*1000000</f>
        <v>#VALUE!</v>
      </c>
      <c r="G66">
        <f t="shared" si="0"/>
        <v>1.8618711590568159E-3</v>
      </c>
      <c r="H66" s="28" t="e">
        <f t="shared" si="1"/>
        <v>#VALUE!</v>
      </c>
      <c r="I66" s="25" t="e">
        <f t="shared" si="2"/>
        <v>#VALUE!</v>
      </c>
      <c r="J66" s="28" t="e">
        <f t="shared" si="3"/>
        <v>#VALUE!</v>
      </c>
      <c r="P66" s="25"/>
      <c r="Q66" s="1"/>
      <c r="R66" s="1"/>
      <c r="S66" s="28"/>
      <c r="T66" s="28"/>
    </row>
    <row r="67" spans="1:20" ht="15" x14ac:dyDescent="0.2">
      <c r="A67" s="29" t="s">
        <v>155</v>
      </c>
      <c r="B67">
        <f>'C-speciation'!F69</f>
        <v>275.14999999999998</v>
      </c>
      <c r="C67" s="48" t="s">
        <v>93</v>
      </c>
      <c r="D67" s="6" t="e">
        <f>(((C67/1000000)*((0.0013))*Volumes!B64/1000)*((Volumes!B64+Volumes!C64)/Volumes!C64))</f>
        <v>#VALUE!</v>
      </c>
      <c r="E67" s="6" t="e">
        <f>(((Volumes!B64+Volumes!C64)/Volumes!C64)*(Volumes!C64/1000*(C67/1000000)))/(0.082057*308.15)</f>
        <v>#VALUE!</v>
      </c>
      <c r="F67" s="4" t="e">
        <f>(D67+E67)*(1000/Volumes!D64)*1000000</f>
        <v>#VALUE!</v>
      </c>
      <c r="G67">
        <f t="shared" si="0"/>
        <v>2.4114848528124858E-3</v>
      </c>
      <c r="H67" s="28" t="e">
        <f t="shared" si="1"/>
        <v>#VALUE!</v>
      </c>
      <c r="I67" s="25" t="e">
        <f t="shared" si="2"/>
        <v>#VALUE!</v>
      </c>
      <c r="J67" s="28" t="e">
        <f t="shared" si="3"/>
        <v>#VALUE!</v>
      </c>
      <c r="P67" s="25"/>
      <c r="Q67" s="1"/>
      <c r="R67" s="1"/>
      <c r="S67" s="28"/>
      <c r="T67" s="28"/>
    </row>
    <row r="68" spans="1:20" ht="15" x14ac:dyDescent="0.2">
      <c r="A68" s="29" t="s">
        <v>156</v>
      </c>
      <c r="B68">
        <f>'C-speciation'!F70</f>
        <v>286.24843749999997</v>
      </c>
      <c r="C68" s="48">
        <v>6.42</v>
      </c>
      <c r="D68" s="6">
        <f>(((C68/1000000)*((0.0013))*Volumes!B65/1000)*((Volumes!B65+Volumes!C65)/Volumes!C65))</f>
        <v>5.5333979999999982E-11</v>
      </c>
      <c r="E68" s="6">
        <f>(((Volumes!B65+Volumes!C65)/Volumes!C65)*(Volumes!C65/1000*(C68/1000000)))/(0.082057*308.15)</f>
        <v>5.6111191974252669E-9</v>
      </c>
      <c r="F68" s="4">
        <f>(D68+E68)*(1000/Volumes!D65)*1000000</f>
        <v>1.1332906354850532</v>
      </c>
      <c r="G68">
        <f t="shared" si="0"/>
        <v>1.7971274333954286E-3</v>
      </c>
      <c r="H68" s="28">
        <f t="shared" si="1"/>
        <v>630.61228404034443</v>
      </c>
      <c r="I68" s="25">
        <f t="shared" si="2"/>
        <v>331.90120212649708</v>
      </c>
      <c r="J68" s="28">
        <f t="shared" si="3"/>
        <v>13.610820532175488</v>
      </c>
      <c r="P68" s="25"/>
      <c r="Q68" s="1"/>
      <c r="R68" s="1"/>
      <c r="S68" s="28"/>
      <c r="T68" s="28"/>
    </row>
    <row r="69" spans="1:20" ht="15" x14ac:dyDescent="0.2">
      <c r="A69" s="29" t="s">
        <v>157</v>
      </c>
      <c r="B69">
        <f>'C-speciation'!F71</f>
        <v>275.14999999999998</v>
      </c>
      <c r="C69" s="48" t="s">
        <v>93</v>
      </c>
      <c r="D69" s="6" t="e">
        <f>(((C69/1000000)*((0.0013))*Volumes!B66/1000)*((Volumes!B66+Volumes!C66)/Volumes!C66))</f>
        <v>#VALUE!</v>
      </c>
      <c r="E69" s="6" t="e">
        <f>(((Volumes!B66+Volumes!C66)/Volumes!C66)*(Volumes!C66/1000*(C69/1000000)))/(0.082057*308.15)</f>
        <v>#VALUE!</v>
      </c>
      <c r="F69" s="4" t="e">
        <f>(D69+E69)*(1000/Volumes!D66)*1000000</f>
        <v>#VALUE!</v>
      </c>
      <c r="G69">
        <f t="shared" si="0"/>
        <v>2.4114848528124858E-3</v>
      </c>
      <c r="H69" s="28" t="e">
        <f t="shared" si="1"/>
        <v>#VALUE!</v>
      </c>
      <c r="I69" s="25" t="e">
        <f t="shared" si="2"/>
        <v>#VALUE!</v>
      </c>
      <c r="J69" s="28" t="e">
        <f t="shared" si="3"/>
        <v>#VALUE!</v>
      </c>
      <c r="P69" s="25"/>
      <c r="Q69" s="1"/>
      <c r="R69" s="1"/>
      <c r="S69" s="28"/>
      <c r="T69" s="28"/>
    </row>
    <row r="70" spans="1:20" ht="15" x14ac:dyDescent="0.2">
      <c r="A70" s="29" t="s">
        <v>158</v>
      </c>
      <c r="B70">
        <f>'C-speciation'!F72</f>
        <v>275.14999999999998</v>
      </c>
      <c r="C70" s="48" t="s">
        <v>93</v>
      </c>
      <c r="D70" s="6" t="e">
        <f>(((C70/1000000)*((0.0013))*Volumes!B67/1000)*((Volumes!B67+Volumes!C67)/Volumes!C67))</f>
        <v>#VALUE!</v>
      </c>
      <c r="E70" s="6" t="e">
        <f>(((Volumes!B67+Volumes!C67)/Volumes!C67)*(Volumes!C67/1000*(C70/1000000)))/(0.082057*308.15)</f>
        <v>#VALUE!</v>
      </c>
      <c r="F70" s="4" t="e">
        <f>(D70+E70)*(1000/Volumes!D67)*1000000</f>
        <v>#VALUE!</v>
      </c>
      <c r="G70">
        <f t="shared" ref="G70:G133" si="4">EXP(-68.8862+(101.4956*(100/B70))+(28.7314*LN(B70/100)))/22.4</f>
        <v>2.4114848528124858E-3</v>
      </c>
      <c r="H70" s="28" t="e">
        <f t="shared" ref="H70:H133" si="5">F70/G70</f>
        <v>#VALUE!</v>
      </c>
      <c r="I70" s="25" t="e">
        <f t="shared" ref="I70:I133" si="6">H70/1.9</f>
        <v>#VALUE!</v>
      </c>
      <c r="J70" s="28" t="e">
        <f t="shared" ref="J70:J133" si="7">F70*12.01</f>
        <v>#VALUE!</v>
      </c>
      <c r="P70" s="25"/>
      <c r="Q70" s="1"/>
      <c r="R70" s="1"/>
      <c r="S70" s="28"/>
      <c r="T70" s="28"/>
    </row>
    <row r="71" spans="1:20" ht="15" x14ac:dyDescent="0.2">
      <c r="A71" s="29" t="s">
        <v>159</v>
      </c>
      <c r="B71">
        <f>'C-speciation'!F73</f>
        <v>275.14999999999998</v>
      </c>
      <c r="C71" s="48" t="s">
        <v>93</v>
      </c>
      <c r="D71" s="6" t="e">
        <f>(((C71/1000000)*((0.0013))*Volumes!B68/1000)*((Volumes!B68+Volumes!C68)/Volumes!C68))</f>
        <v>#VALUE!</v>
      </c>
      <c r="E71" s="6" t="e">
        <f>(((Volumes!B68+Volumes!C68)/Volumes!C68)*(Volumes!C68/1000*(C71/1000000)))/(0.082057*308.15)</f>
        <v>#VALUE!</v>
      </c>
      <c r="F71" s="4" t="e">
        <f>(D71+E71)*(1000/Volumes!D68)*1000000</f>
        <v>#VALUE!</v>
      </c>
      <c r="G71">
        <f t="shared" si="4"/>
        <v>2.4114848528124858E-3</v>
      </c>
      <c r="H71" s="28" t="e">
        <f t="shared" si="5"/>
        <v>#VALUE!</v>
      </c>
      <c r="I71" s="25" t="e">
        <f t="shared" si="6"/>
        <v>#VALUE!</v>
      </c>
      <c r="J71" s="28" t="e">
        <f t="shared" si="7"/>
        <v>#VALUE!</v>
      </c>
      <c r="P71" s="25"/>
      <c r="Q71" s="1"/>
      <c r="R71" s="1"/>
      <c r="S71" s="28"/>
      <c r="T71" s="28"/>
    </row>
    <row r="72" spans="1:20" ht="15" x14ac:dyDescent="0.2">
      <c r="A72" s="29" t="s">
        <v>160</v>
      </c>
      <c r="B72">
        <f>'C-speciation'!F74</f>
        <v>281.68622916666664</v>
      </c>
      <c r="C72" s="48" t="s">
        <v>93</v>
      </c>
      <c r="D72" s="6" t="e">
        <f>(((C72/1000000)*((0.0013))*Volumes!B69/1000)*((Volumes!B69+Volumes!C69)/Volumes!C69))</f>
        <v>#VALUE!</v>
      </c>
      <c r="E72" s="6" t="e">
        <f>(((Volumes!B69+Volumes!C69)/Volumes!C69)*(Volumes!C69/1000*(C72/1000000)))/(0.082057*308.15)</f>
        <v>#VALUE!</v>
      </c>
      <c r="F72" s="4" t="e">
        <f>(D72+E72)*(1000/Volumes!D69)*1000000</f>
        <v>#VALUE!</v>
      </c>
      <c r="G72">
        <f t="shared" si="4"/>
        <v>2.0114355176438685E-3</v>
      </c>
      <c r="H72" s="28" t="e">
        <f t="shared" si="5"/>
        <v>#VALUE!</v>
      </c>
      <c r="I72" s="25" t="e">
        <f t="shared" si="6"/>
        <v>#VALUE!</v>
      </c>
      <c r="J72" s="28" t="e">
        <f t="shared" si="7"/>
        <v>#VALUE!</v>
      </c>
      <c r="P72" s="25"/>
      <c r="Q72" s="1"/>
      <c r="R72" s="1"/>
      <c r="S72" s="28"/>
      <c r="T72" s="28"/>
    </row>
    <row r="73" spans="1:20" ht="15" x14ac:dyDescent="0.2">
      <c r="A73" s="29" t="s">
        <v>161</v>
      </c>
      <c r="B73">
        <f>'C-speciation'!F75</f>
        <v>281.86470833333328</v>
      </c>
      <c r="C73" s="48" t="s">
        <v>93</v>
      </c>
      <c r="D73" s="6" t="e">
        <f>(((C73/1000000)*((0.0013))*Volumes!B70/1000)*((Volumes!B70+Volumes!C70)/Volumes!C70))</f>
        <v>#VALUE!</v>
      </c>
      <c r="E73" s="6" t="e">
        <f>(((Volumes!B70+Volumes!C70)/Volumes!C70)*(Volumes!C70/1000*(C73/1000000)))/(0.082057*308.15)</f>
        <v>#VALUE!</v>
      </c>
      <c r="F73" s="4" t="e">
        <f>(D73+E73)*(1000/Volumes!D70)*1000000</f>
        <v>#VALUE!</v>
      </c>
      <c r="G73">
        <f t="shared" si="4"/>
        <v>2.0021707563625708E-3</v>
      </c>
      <c r="H73" s="28" t="e">
        <f t="shared" si="5"/>
        <v>#VALUE!</v>
      </c>
      <c r="I73" s="25" t="e">
        <f t="shared" si="6"/>
        <v>#VALUE!</v>
      </c>
      <c r="J73" s="28" t="e">
        <f t="shared" si="7"/>
        <v>#VALUE!</v>
      </c>
      <c r="P73" s="25"/>
      <c r="Q73" s="1"/>
      <c r="R73" s="1"/>
      <c r="S73" s="28"/>
      <c r="T73" s="28"/>
    </row>
    <row r="74" spans="1:20" ht="15" x14ac:dyDescent="0.2">
      <c r="A74" s="29" t="s">
        <v>162</v>
      </c>
      <c r="B74">
        <f>'C-speciation'!F76</f>
        <v>275.14999999999998</v>
      </c>
      <c r="C74" s="48" t="s">
        <v>93</v>
      </c>
      <c r="D74" s="6" t="e">
        <f>(((C74/1000000)*((0.0013))*Volumes!B71/1000)*((Volumes!B71+Volumes!C71)/Volumes!C71))</f>
        <v>#VALUE!</v>
      </c>
      <c r="E74" s="6" t="e">
        <f>(((Volumes!B71+Volumes!C71)/Volumes!C71)*(Volumes!C71/1000*(C74/1000000)))/(0.082057*308.15)</f>
        <v>#VALUE!</v>
      </c>
      <c r="F74" s="4" t="e">
        <f>(D74+E74)*(1000/Volumes!D71)*1000000</f>
        <v>#VALUE!</v>
      </c>
      <c r="G74">
        <f t="shared" si="4"/>
        <v>2.4114848528124858E-3</v>
      </c>
      <c r="H74" s="28" t="e">
        <f t="shared" si="5"/>
        <v>#VALUE!</v>
      </c>
      <c r="I74" s="25" t="e">
        <f t="shared" si="6"/>
        <v>#VALUE!</v>
      </c>
      <c r="J74" s="28" t="e">
        <f t="shared" si="7"/>
        <v>#VALUE!</v>
      </c>
      <c r="P74" s="25"/>
      <c r="Q74" s="1"/>
      <c r="R74" s="1"/>
      <c r="S74" s="28"/>
      <c r="T74" s="28"/>
    </row>
    <row r="75" spans="1:20" ht="15" x14ac:dyDescent="0.2">
      <c r="A75" s="29" t="s">
        <v>163</v>
      </c>
      <c r="B75">
        <f>'C-speciation'!F77</f>
        <v>275.14999999999998</v>
      </c>
      <c r="C75" s="48" t="s">
        <v>93</v>
      </c>
      <c r="D75" s="6" t="e">
        <f>(((C75/1000000)*((0.0013))*Volumes!B72/1000)*((Volumes!B72+Volumes!C72)/Volumes!C72))</f>
        <v>#VALUE!</v>
      </c>
      <c r="E75" s="6" t="e">
        <f>(((Volumes!B72+Volumes!C72)/Volumes!C72)*(Volumes!C72/1000*(C75/1000000)))/(0.082057*308.15)</f>
        <v>#VALUE!</v>
      </c>
      <c r="F75" s="4" t="e">
        <f>(D75+E75)*(1000/Volumes!D72)*1000000</f>
        <v>#VALUE!</v>
      </c>
      <c r="G75">
        <f t="shared" si="4"/>
        <v>2.4114848528124858E-3</v>
      </c>
      <c r="H75" s="28" t="e">
        <f t="shared" si="5"/>
        <v>#VALUE!</v>
      </c>
      <c r="I75" s="25" t="e">
        <f t="shared" si="6"/>
        <v>#VALUE!</v>
      </c>
      <c r="J75" s="28" t="e">
        <f t="shared" si="7"/>
        <v>#VALUE!</v>
      </c>
      <c r="P75" s="25"/>
      <c r="Q75" s="1"/>
      <c r="R75" s="1"/>
      <c r="S75" s="28"/>
      <c r="T75" s="28"/>
    </row>
    <row r="76" spans="1:20" ht="15" x14ac:dyDescent="0.2">
      <c r="A76" s="29" t="s">
        <v>164</v>
      </c>
      <c r="B76">
        <f>'C-speciation'!F78</f>
        <v>283.91010416666666</v>
      </c>
      <c r="C76" s="48">
        <v>1.89</v>
      </c>
      <c r="D76" s="6">
        <f>(((C76/1000000)*((0.0013))*Volumes!B73/1000)*((Volumes!B73+Volumes!C73)/Volumes!C73))</f>
        <v>1.6289909999999996E-11</v>
      </c>
      <c r="E76" s="6">
        <f>(((Volumes!B73+Volumes!C73)/Volumes!C73)*(Volumes!C73/1000*(C76/1000000)))/(0.082057*308.15)</f>
        <v>1.651871539428934E-9</v>
      </c>
      <c r="F76" s="4">
        <f>(D76+E76)*(1000/Volumes!D73)*1000000</f>
        <v>0.33363228988578675</v>
      </c>
      <c r="G76">
        <f t="shared" si="4"/>
        <v>1.9013294018736368E-3</v>
      </c>
      <c r="H76" s="28">
        <f t="shared" si="5"/>
        <v>175.47316606844336</v>
      </c>
      <c r="I76" s="25">
        <f t="shared" si="6"/>
        <v>92.354297930759671</v>
      </c>
      <c r="J76" s="28">
        <f t="shared" si="7"/>
        <v>4.0069238015282984</v>
      </c>
      <c r="P76" s="25"/>
      <c r="Q76" s="1"/>
      <c r="R76" s="1"/>
      <c r="S76" s="28"/>
      <c r="T76" s="28"/>
    </row>
    <row r="77" spans="1:20" ht="15" x14ac:dyDescent="0.2">
      <c r="A77" s="29" t="s">
        <v>165</v>
      </c>
      <c r="B77">
        <f>'C-speciation'!F79</f>
        <v>287.2439583333333</v>
      </c>
      <c r="C77" s="48" t="s">
        <v>93</v>
      </c>
      <c r="D77" s="6" t="e">
        <f>(((C77/1000000)*((0.0013))*Volumes!B74/1000)*((Volumes!B74+Volumes!C74)/Volumes!C74))</f>
        <v>#VALUE!</v>
      </c>
      <c r="E77" s="6" t="e">
        <f>(((Volumes!B74+Volumes!C74)/Volumes!C74)*(Volumes!C74/1000*(C77/1000000)))/(0.082057*308.15)</f>
        <v>#VALUE!</v>
      </c>
      <c r="F77" s="4" t="e">
        <f>(D77+E77)*(1000/Volumes!D74)*1000000</f>
        <v>#VALUE!</v>
      </c>
      <c r="G77">
        <f t="shared" si="4"/>
        <v>1.7560246126658069E-3</v>
      </c>
      <c r="H77" s="28" t="e">
        <f t="shared" si="5"/>
        <v>#VALUE!</v>
      </c>
      <c r="I77" s="25" t="e">
        <f t="shared" si="6"/>
        <v>#VALUE!</v>
      </c>
      <c r="J77" s="28" t="e">
        <f t="shared" si="7"/>
        <v>#VALUE!</v>
      </c>
      <c r="P77" s="25"/>
      <c r="Q77" s="1"/>
      <c r="R77" s="1"/>
      <c r="S77" s="28"/>
      <c r="T77" s="28"/>
    </row>
    <row r="78" spans="1:20" ht="15" x14ac:dyDescent="0.2">
      <c r="A78" s="29" t="s">
        <v>166</v>
      </c>
      <c r="B78">
        <f>'C-speciation'!F80</f>
        <v>280.34574999999995</v>
      </c>
      <c r="C78" s="48" t="s">
        <v>93</v>
      </c>
      <c r="D78" s="6" t="e">
        <f>(((C78/1000000)*((0.0013))*Volumes!B75/1000)*((Volumes!B75+Volumes!C75)/Volumes!C75))</f>
        <v>#VALUE!</v>
      </c>
      <c r="E78" s="6" t="e">
        <f>(((Volumes!B75+Volumes!C75)/Volumes!C75)*(Volumes!C75/1000*(C78/1000000)))/(0.082057*308.15)</f>
        <v>#VALUE!</v>
      </c>
      <c r="F78" s="4" t="e">
        <f>(D78+E78)*(1000/Volumes!D75)*1000000</f>
        <v>#VALUE!</v>
      </c>
      <c r="G78">
        <f t="shared" si="4"/>
        <v>2.0835670289238105E-3</v>
      </c>
      <c r="H78" s="28" t="e">
        <f t="shared" si="5"/>
        <v>#VALUE!</v>
      </c>
      <c r="I78" s="25" t="e">
        <f t="shared" si="6"/>
        <v>#VALUE!</v>
      </c>
      <c r="J78" s="28" t="e">
        <f t="shared" si="7"/>
        <v>#VALUE!</v>
      </c>
      <c r="P78" s="25"/>
      <c r="Q78" s="1"/>
      <c r="R78" s="1"/>
      <c r="S78" s="28"/>
      <c r="T78" s="28"/>
    </row>
    <row r="79" spans="1:20" ht="15" x14ac:dyDescent="0.2">
      <c r="A79" s="29" t="s">
        <v>167</v>
      </c>
      <c r="B79">
        <f>'C-speciation'!F81</f>
        <v>278.75828124999998</v>
      </c>
      <c r="C79" s="48" t="s">
        <v>93</v>
      </c>
      <c r="D79" s="6" t="e">
        <f>(((C79/1000000)*((0.0013))*Volumes!B76/1000)*((Volumes!B76+Volumes!C76)/Volumes!C76))</f>
        <v>#VALUE!</v>
      </c>
      <c r="E79" s="6" t="e">
        <f>(((Volumes!B76+Volumes!C76)/Volumes!C76)*(Volumes!C76/1000*(C79/1000000)))/(0.082057*308.15)</f>
        <v>#VALUE!</v>
      </c>
      <c r="F79" s="4" t="e">
        <f>(D79+E79)*(1000/Volumes!D76)*1000000</f>
        <v>#VALUE!</v>
      </c>
      <c r="G79">
        <f t="shared" si="4"/>
        <v>2.1751524460610957E-3</v>
      </c>
      <c r="H79" s="28" t="e">
        <f t="shared" si="5"/>
        <v>#VALUE!</v>
      </c>
      <c r="I79" s="25" t="e">
        <f t="shared" si="6"/>
        <v>#VALUE!</v>
      </c>
      <c r="J79" s="28" t="e">
        <f t="shared" si="7"/>
        <v>#VALUE!</v>
      </c>
      <c r="P79" s="25"/>
      <c r="Q79" s="1"/>
      <c r="R79" s="1"/>
      <c r="S79" s="28"/>
      <c r="T79" s="28"/>
    </row>
    <row r="80" spans="1:20" ht="15" x14ac:dyDescent="0.2">
      <c r="A80" s="29" t="s">
        <v>168</v>
      </c>
      <c r="B80">
        <f>'C-speciation'!F82</f>
        <v>275.14999999999998</v>
      </c>
      <c r="C80" s="48" t="s">
        <v>93</v>
      </c>
      <c r="D80" s="6" t="e">
        <f>(((C80/1000000)*((0.0013))*Volumes!B77/1000)*((Volumes!B77+Volumes!C77)/Volumes!C77))</f>
        <v>#VALUE!</v>
      </c>
      <c r="E80" s="6" t="e">
        <f>(((Volumes!B77+Volumes!C77)/Volumes!C77)*(Volumes!C77/1000*(C80/1000000)))/(0.082057*308.15)</f>
        <v>#VALUE!</v>
      </c>
      <c r="F80" s="4" t="e">
        <f>(D80+E80)*(1000/Volumes!D77)*1000000</f>
        <v>#VALUE!</v>
      </c>
      <c r="G80">
        <f t="shared" si="4"/>
        <v>2.4114848528124858E-3</v>
      </c>
      <c r="H80" s="28" t="e">
        <f t="shared" si="5"/>
        <v>#VALUE!</v>
      </c>
      <c r="I80" s="25" t="e">
        <f t="shared" si="6"/>
        <v>#VALUE!</v>
      </c>
      <c r="J80" s="28" t="e">
        <f t="shared" si="7"/>
        <v>#VALUE!</v>
      </c>
      <c r="P80" s="25"/>
      <c r="Q80" s="1"/>
      <c r="R80" s="1"/>
      <c r="S80" s="28"/>
      <c r="T80" s="28"/>
    </row>
    <row r="81" spans="1:20" ht="15" x14ac:dyDescent="0.2">
      <c r="A81" s="29" t="s">
        <v>169</v>
      </c>
      <c r="B81">
        <f>'C-speciation'!F83</f>
        <v>279.36391666666663</v>
      </c>
      <c r="C81" s="48">
        <v>1.3057914718761201</v>
      </c>
      <c r="D81" s="6">
        <f>(((C81/1000000)*((0.0013))*Volumes!B78/1000)*((Volumes!B78+Volumes!C78)/Volumes!C78))</f>
        <v>1.1254616696100279E-11</v>
      </c>
      <c r="E81" s="6">
        <f>(((Volumes!B78+Volumes!C78)/Volumes!C78)*(Volumes!C78/1000*(C81/1000000)))/(0.082057*308.15)</f>
        <v>1.1412697189530054E-9</v>
      </c>
      <c r="F81" s="4">
        <f>(D81+E81)*(1000/Volumes!D78)*1000000</f>
        <v>0.23050486712982113</v>
      </c>
      <c r="G81">
        <f t="shared" si="4"/>
        <v>2.1393886048874538E-3</v>
      </c>
      <c r="H81" s="28">
        <f t="shared" si="5"/>
        <v>107.74333685952638</v>
      </c>
      <c r="I81" s="25">
        <f t="shared" si="6"/>
        <v>56.707019399750727</v>
      </c>
      <c r="J81" s="28">
        <f t="shared" si="7"/>
        <v>2.7683634542291515</v>
      </c>
      <c r="P81" s="25"/>
      <c r="Q81" s="1"/>
      <c r="R81" s="1"/>
      <c r="S81" s="28"/>
      <c r="T81" s="28"/>
    </row>
    <row r="82" spans="1:20" ht="15" x14ac:dyDescent="0.2">
      <c r="A82" s="29" t="s">
        <v>170</v>
      </c>
      <c r="B82">
        <f>'C-speciation'!F84</f>
        <v>275.14999999999998</v>
      </c>
      <c r="C82" s="48" t="s">
        <v>93</v>
      </c>
      <c r="D82" s="6" t="e">
        <f>(((C82/1000000)*((0.0013))*Volumes!B79/1000)*((Volumes!B79+Volumes!C79)/Volumes!C79))</f>
        <v>#VALUE!</v>
      </c>
      <c r="E82" s="6" t="e">
        <f>(((Volumes!B79+Volumes!C79)/Volumes!C79)*(Volumes!C79/1000*(C82/1000000)))/(0.082057*308.15)</f>
        <v>#VALUE!</v>
      </c>
      <c r="F82" s="4" t="e">
        <f>(D82+E82)*(1000/Volumes!D79)*1000000</f>
        <v>#VALUE!</v>
      </c>
      <c r="G82">
        <f t="shared" si="4"/>
        <v>2.4114848528124858E-3</v>
      </c>
      <c r="H82" s="28" t="e">
        <f t="shared" si="5"/>
        <v>#VALUE!</v>
      </c>
      <c r="I82" s="25" t="e">
        <f t="shared" si="6"/>
        <v>#VALUE!</v>
      </c>
      <c r="J82" s="28" t="e">
        <f t="shared" si="7"/>
        <v>#VALUE!</v>
      </c>
      <c r="P82" s="25"/>
      <c r="Q82" s="1"/>
      <c r="R82" s="1"/>
      <c r="S82" s="28"/>
      <c r="T82" s="28"/>
    </row>
    <row r="83" spans="1:20" ht="15" x14ac:dyDescent="0.2">
      <c r="A83" s="29" t="s">
        <v>171</v>
      </c>
      <c r="B83">
        <f>'C-speciation'!F85</f>
        <v>275.14999999999998</v>
      </c>
      <c r="C83" s="48" t="s">
        <v>93</v>
      </c>
      <c r="D83" s="6" t="e">
        <f>(((C83/1000000)*((0.0013))*Volumes!B80/1000)*((Volumes!B80+Volumes!C80)/Volumes!C80))</f>
        <v>#VALUE!</v>
      </c>
      <c r="E83" s="6" t="e">
        <f>(((Volumes!B80+Volumes!C80)/Volumes!C80)*(Volumes!C80/1000*(C83/1000000)))/(0.082057*308.15)</f>
        <v>#VALUE!</v>
      </c>
      <c r="F83" s="4" t="e">
        <f>(D83+E83)*(1000/Volumes!D80)*1000000</f>
        <v>#VALUE!</v>
      </c>
      <c r="G83">
        <f t="shared" si="4"/>
        <v>2.4114848528124858E-3</v>
      </c>
      <c r="H83" s="28" t="e">
        <f t="shared" si="5"/>
        <v>#VALUE!</v>
      </c>
      <c r="I83" s="25" t="e">
        <f t="shared" si="6"/>
        <v>#VALUE!</v>
      </c>
      <c r="J83" s="28" t="e">
        <f t="shared" si="7"/>
        <v>#VALUE!</v>
      </c>
      <c r="P83" s="25"/>
      <c r="Q83" s="1"/>
      <c r="R83" s="1"/>
      <c r="S83" s="28"/>
      <c r="T83" s="28"/>
    </row>
    <row r="84" spans="1:20" ht="15" x14ac:dyDescent="0.2">
      <c r="A84" s="29" t="s">
        <v>172</v>
      </c>
      <c r="B84">
        <f>'C-speciation'!F86</f>
        <v>286.3803125</v>
      </c>
      <c r="C84" s="48">
        <v>1.7401585597520901</v>
      </c>
      <c r="D84" s="6">
        <f>(((C84/1000000)*((0.0013))*Volumes!B81/1000)*((Volumes!B81+Volumes!C81)/Volumes!C81))</f>
        <v>1.4998426626503264E-11</v>
      </c>
      <c r="E84" s="6">
        <f>(((Volumes!B81+Volumes!C81)/Volumes!C81)*(Volumes!C81/1000*(C84/1000000)))/(0.082057*308.15)</f>
        <v>1.5209092057926567E-9</v>
      </c>
      <c r="F84" s="4">
        <f>(D84+E84)*(1000/Volumes!D81)*1000000</f>
        <v>0.30718152648383201</v>
      </c>
      <c r="G84">
        <f t="shared" si="4"/>
        <v>1.7915755401175847E-3</v>
      </c>
      <c r="H84" s="28">
        <f t="shared" si="5"/>
        <v>171.45887494292933</v>
      </c>
      <c r="I84" s="25">
        <f t="shared" si="6"/>
        <v>90.241513127857544</v>
      </c>
      <c r="J84" s="28">
        <f t="shared" si="7"/>
        <v>3.6892501330708223</v>
      </c>
      <c r="P84" s="25"/>
      <c r="Q84" s="1"/>
      <c r="R84" s="1"/>
      <c r="S84" s="28"/>
      <c r="T84" s="28"/>
    </row>
    <row r="85" spans="1:20" ht="15" x14ac:dyDescent="0.2">
      <c r="A85" s="29" t="s">
        <v>173</v>
      </c>
      <c r="B85">
        <f>'C-speciation'!F87</f>
        <v>275.14999999999998</v>
      </c>
      <c r="C85" s="48" t="s">
        <v>93</v>
      </c>
      <c r="D85" s="6" t="e">
        <f>(((C85/1000000)*((0.0013))*Volumes!B82/1000)*((Volumes!B82+Volumes!C82)/Volumes!C82))</f>
        <v>#VALUE!</v>
      </c>
      <c r="E85" s="6" t="e">
        <f>(((Volumes!B82+Volumes!C82)/Volumes!C82)*(Volumes!C82/1000*(C85/1000000)))/(0.082057*308.15)</f>
        <v>#VALUE!</v>
      </c>
      <c r="F85" s="4" t="e">
        <f>(D85+E85)*(1000/Volumes!D82)*1000000</f>
        <v>#VALUE!</v>
      </c>
      <c r="G85">
        <f t="shared" si="4"/>
        <v>2.4114848528124858E-3</v>
      </c>
      <c r="H85" s="28" t="e">
        <f t="shared" si="5"/>
        <v>#VALUE!</v>
      </c>
      <c r="I85" s="25" t="e">
        <f t="shared" si="6"/>
        <v>#VALUE!</v>
      </c>
      <c r="J85" s="28" t="e">
        <f t="shared" si="7"/>
        <v>#VALUE!</v>
      </c>
      <c r="P85" s="25"/>
      <c r="Q85" s="1"/>
      <c r="R85" s="1"/>
      <c r="S85" s="28"/>
      <c r="T85" s="28"/>
    </row>
    <row r="86" spans="1:20" ht="15" x14ac:dyDescent="0.2">
      <c r="A86" s="29" t="s">
        <v>174</v>
      </c>
      <c r="B86">
        <f>'C-speciation'!F88</f>
        <v>285.51458333333329</v>
      </c>
      <c r="C86" s="48">
        <v>1.3712733012954199</v>
      </c>
      <c r="D86" s="6">
        <f>(((C86/1000000)*((0.0013))*Volumes!B83/1000)*((Volumes!B83+Volumes!C83)/Volumes!C83))</f>
        <v>1.1819004583865223E-11</v>
      </c>
      <c r="E86" s="6">
        <f>(((Volumes!B83+Volumes!C83)/Volumes!C83)*(Volumes!C83/1000*(C86/1000000)))/(0.082057*308.15)</f>
        <v>1.1985012376659582E-9</v>
      </c>
      <c r="F86" s="4">
        <f>(D86+E86)*(1000/Volumes!D83)*1000000</f>
        <v>0.24206404844996465</v>
      </c>
      <c r="G86">
        <f t="shared" si="4"/>
        <v>1.8286379867595032E-3</v>
      </c>
      <c r="H86" s="28">
        <f t="shared" si="5"/>
        <v>132.37395821516429</v>
      </c>
      <c r="I86" s="25">
        <f t="shared" si="6"/>
        <v>69.670504323770686</v>
      </c>
      <c r="J86" s="28">
        <f t="shared" si="7"/>
        <v>2.9071892218840754</v>
      </c>
      <c r="P86" s="25"/>
      <c r="Q86" s="1"/>
      <c r="R86" s="1"/>
      <c r="S86" s="28"/>
      <c r="T86" s="28"/>
    </row>
    <row r="87" spans="1:20" ht="15" x14ac:dyDescent="0.2">
      <c r="A87" s="29" t="s">
        <v>175</v>
      </c>
      <c r="B87">
        <f>'C-speciation'!F89</f>
        <v>275.14999999999998</v>
      </c>
      <c r="C87" s="48">
        <v>0.84</v>
      </c>
      <c r="D87" s="6">
        <f>(((C87/1000000)*((0.0013))*Volumes!B84/1000)*((Volumes!B84+Volumes!C84)/Volumes!C84))</f>
        <v>7.2399599999999994E-12</v>
      </c>
      <c r="E87" s="6">
        <f>(((Volumes!B84+Volumes!C84)/Volumes!C84)*(Volumes!C84/1000*(C87/1000000)))/(0.082057*308.15)</f>
        <v>7.3416512863508176E-10</v>
      </c>
      <c r="F87" s="4">
        <f>(D87+E87)*(1000/Volumes!D84)*1000000</f>
        <v>0.14828101772701635</v>
      </c>
      <c r="G87">
        <f t="shared" si="4"/>
        <v>2.4114848528124858E-3</v>
      </c>
      <c r="H87" s="28">
        <f t="shared" si="5"/>
        <v>61.489508239737845</v>
      </c>
      <c r="I87" s="25">
        <f t="shared" si="6"/>
        <v>32.362899073546238</v>
      </c>
      <c r="J87" s="28">
        <f t="shared" si="7"/>
        <v>1.7808550229014664</v>
      </c>
      <c r="P87" s="25"/>
      <c r="Q87" s="1"/>
      <c r="R87" s="1"/>
      <c r="S87" s="28"/>
      <c r="T87" s="28"/>
    </row>
    <row r="88" spans="1:20" ht="15" x14ac:dyDescent="0.2">
      <c r="A88" s="29" t="s">
        <v>176</v>
      </c>
      <c r="B88">
        <f>'C-speciation'!F90</f>
        <v>275.14999999999998</v>
      </c>
      <c r="C88" s="48" t="s">
        <v>93</v>
      </c>
      <c r="D88" s="6" t="e">
        <f>(((C88/1000000)*((0.0013))*Volumes!B85/1000)*((Volumes!B85+Volumes!C85)/Volumes!C85))</f>
        <v>#VALUE!</v>
      </c>
      <c r="E88" s="6" t="e">
        <f>(((Volumes!B85+Volumes!C85)/Volumes!C85)*(Volumes!C85/1000*(C88/1000000)))/(0.082057*308.15)</f>
        <v>#VALUE!</v>
      </c>
      <c r="F88" s="4" t="e">
        <f>(D88+E88)*(1000/Volumes!D85)*1000000</f>
        <v>#VALUE!</v>
      </c>
      <c r="G88">
        <f t="shared" si="4"/>
        <v>2.4114848528124858E-3</v>
      </c>
      <c r="H88" s="28" t="e">
        <f t="shared" si="5"/>
        <v>#VALUE!</v>
      </c>
      <c r="I88" s="25" t="e">
        <f t="shared" si="6"/>
        <v>#VALUE!</v>
      </c>
      <c r="J88" s="28" t="e">
        <f t="shared" si="7"/>
        <v>#VALUE!</v>
      </c>
      <c r="P88" s="25"/>
      <c r="Q88" s="1"/>
      <c r="R88" s="1"/>
      <c r="S88" s="28"/>
      <c r="T88" s="28"/>
    </row>
    <row r="89" spans="1:20" ht="15" x14ac:dyDescent="0.2">
      <c r="A89" s="29" t="s">
        <v>177</v>
      </c>
      <c r="B89">
        <f>'C-speciation'!F91</f>
        <v>275.14999999999998</v>
      </c>
      <c r="C89" s="48" t="s">
        <v>93</v>
      </c>
      <c r="D89" s="6" t="e">
        <f>(((C89/1000000)*((0.0013))*Volumes!B86/1000)*((Volumes!B86+Volumes!C86)/Volumes!C86))</f>
        <v>#VALUE!</v>
      </c>
      <c r="E89" s="6" t="e">
        <f>(((Volumes!B86+Volumes!C86)/Volumes!C86)*(Volumes!C86/1000*(C89/1000000)))/(0.082057*308.15)</f>
        <v>#VALUE!</v>
      </c>
      <c r="F89" s="4" t="e">
        <f>(D89+E89)*(1000/Volumes!D86)*1000000</f>
        <v>#VALUE!</v>
      </c>
      <c r="G89">
        <f t="shared" si="4"/>
        <v>2.4114848528124858E-3</v>
      </c>
      <c r="H89" s="28" t="e">
        <f t="shared" si="5"/>
        <v>#VALUE!</v>
      </c>
      <c r="I89" s="25" t="e">
        <f t="shared" si="6"/>
        <v>#VALUE!</v>
      </c>
      <c r="J89" s="28" t="e">
        <f t="shared" si="7"/>
        <v>#VALUE!</v>
      </c>
      <c r="P89" s="25"/>
      <c r="Q89" s="1"/>
      <c r="R89" s="1"/>
      <c r="S89" s="28"/>
      <c r="T89" s="28"/>
    </row>
    <row r="90" spans="1:20" ht="15" x14ac:dyDescent="0.2">
      <c r="A90" s="29" t="s">
        <v>178</v>
      </c>
      <c r="B90">
        <f>'C-speciation'!F92</f>
        <v>280.78694791666663</v>
      </c>
      <c r="C90" s="48" t="s">
        <v>93</v>
      </c>
      <c r="D90" s="6" t="e">
        <f>(((C90/1000000)*((0.0013))*Volumes!B87/1000)*((Volumes!B87+Volumes!C87)/Volumes!C87))</f>
        <v>#VALUE!</v>
      </c>
      <c r="E90" s="6" t="e">
        <f>(((Volumes!B87+Volumes!C87)/Volumes!C87)*(Volumes!C87/1000*(C90/1000000)))/(0.082057*308.15)</f>
        <v>#VALUE!</v>
      </c>
      <c r="F90" s="4" t="e">
        <f>(D90+E90)*(1000/Volumes!D87)*1000000</f>
        <v>#VALUE!</v>
      </c>
      <c r="G90">
        <f t="shared" si="4"/>
        <v>2.0593196389409574E-3</v>
      </c>
      <c r="H90" s="28" t="e">
        <f t="shared" si="5"/>
        <v>#VALUE!</v>
      </c>
      <c r="I90" s="25" t="e">
        <f t="shared" si="6"/>
        <v>#VALUE!</v>
      </c>
      <c r="J90" s="28" t="e">
        <f t="shared" si="7"/>
        <v>#VALUE!</v>
      </c>
      <c r="P90" s="25"/>
      <c r="Q90" s="1"/>
      <c r="R90" s="1"/>
      <c r="S90" s="28"/>
      <c r="T90" s="28"/>
    </row>
    <row r="91" spans="1:20" ht="15" x14ac:dyDescent="0.2">
      <c r="A91" s="29" t="s">
        <v>179</v>
      </c>
      <c r="B91">
        <f>'C-speciation'!F93</f>
        <v>275.14999999999998</v>
      </c>
      <c r="C91" s="48" t="s">
        <v>93</v>
      </c>
      <c r="D91" s="6" t="e">
        <f>(((C91/1000000)*((0.0013))*Volumes!B88/1000)*((Volumes!B88+Volumes!C88)/Volumes!C88))</f>
        <v>#VALUE!</v>
      </c>
      <c r="E91" s="6" t="e">
        <f>(((Volumes!B88+Volumes!C88)/Volumes!C88)*(Volumes!C88/1000*(C91/1000000)))/(0.082057*308.15)</f>
        <v>#VALUE!</v>
      </c>
      <c r="F91" s="4" t="e">
        <f>(D91+E91)*(1000/Volumes!D88)*1000000</f>
        <v>#VALUE!</v>
      </c>
      <c r="G91">
        <f t="shared" si="4"/>
        <v>2.4114848528124858E-3</v>
      </c>
      <c r="H91" s="28" t="e">
        <f t="shared" si="5"/>
        <v>#VALUE!</v>
      </c>
      <c r="I91" s="25" t="e">
        <f t="shared" si="6"/>
        <v>#VALUE!</v>
      </c>
      <c r="J91" s="28" t="e">
        <f t="shared" si="7"/>
        <v>#VALUE!</v>
      </c>
      <c r="P91" s="25"/>
      <c r="Q91" s="1"/>
      <c r="R91" s="1"/>
      <c r="S91" s="28"/>
      <c r="T91" s="28"/>
    </row>
    <row r="92" spans="1:20" ht="15" x14ac:dyDescent="0.2">
      <c r="A92" s="29" t="s">
        <v>180</v>
      </c>
      <c r="B92">
        <f>'C-speciation'!F94</f>
        <v>280.53905208333333</v>
      </c>
      <c r="C92" s="48">
        <v>2.96</v>
      </c>
      <c r="D92" s="6">
        <f>(((C92/1000000)*((0.0013))*Volumes!B89/1000)*((Volumes!B89+Volumes!C89)/Volumes!C89))</f>
        <v>2.5512239999999998E-11</v>
      </c>
      <c r="E92" s="6">
        <f>(((Volumes!B89+Volumes!C89)/Volumes!C89)*(Volumes!C89/1000*(C92/1000000)))/(0.082057*308.15)</f>
        <v>2.5870580723331451E-9</v>
      </c>
      <c r="F92" s="4">
        <f>(D92+E92)*(1000/Volumes!D89)*1000000</f>
        <v>0.52251406246662901</v>
      </c>
      <c r="G92">
        <f t="shared" si="4"/>
        <v>2.0728810496650099E-3</v>
      </c>
      <c r="H92" s="28">
        <f t="shared" si="5"/>
        <v>252.07141652005089</v>
      </c>
      <c r="I92" s="25">
        <f t="shared" si="6"/>
        <v>132.66916658950046</v>
      </c>
      <c r="J92" s="28">
        <f t="shared" si="7"/>
        <v>6.2753938902242146</v>
      </c>
      <c r="P92" s="25"/>
      <c r="Q92" s="1"/>
      <c r="R92" s="1"/>
      <c r="S92" s="28"/>
      <c r="T92" s="28"/>
    </row>
    <row r="93" spans="1:20" ht="15" x14ac:dyDescent="0.2">
      <c r="A93" s="29" t="s">
        <v>181</v>
      </c>
      <c r="B93">
        <f>'C-speciation'!F95</f>
        <v>281.84481249999999</v>
      </c>
      <c r="C93" s="48">
        <v>1.81110171737185</v>
      </c>
      <c r="D93" s="6">
        <f>(((C93/1000000)*((0.0013))*Volumes!B90/1000)*((Volumes!B90+Volumes!C90)/Volumes!C90))</f>
        <v>1.5609885702027972E-11</v>
      </c>
      <c r="E93" s="6">
        <f>(((Volumes!B90+Volumes!C90)/Volumes!C90)*(Volumes!C90/1000*(C93/1000000)))/(0.082057*308.15)</f>
        <v>1.5829139586970496E-9</v>
      </c>
      <c r="F93" s="4">
        <f>(D93+E93)*(1000/Volumes!D90)*1000000</f>
        <v>0.31970476887981553</v>
      </c>
      <c r="G93">
        <f t="shared" si="4"/>
        <v>2.0031996985292477E-3</v>
      </c>
      <c r="H93" s="28">
        <f t="shared" si="5"/>
        <v>159.59705321169091</v>
      </c>
      <c r="I93" s="25">
        <f t="shared" si="6"/>
        <v>83.998449058784686</v>
      </c>
      <c r="J93" s="28">
        <f t="shared" si="7"/>
        <v>3.8396542742465845</v>
      </c>
      <c r="P93" s="25"/>
      <c r="Q93" s="1"/>
      <c r="R93" s="1"/>
      <c r="S93" s="28"/>
      <c r="T93" s="28"/>
    </row>
    <row r="94" spans="1:20" ht="15" x14ac:dyDescent="0.2">
      <c r="A94" s="29" t="s">
        <v>174</v>
      </c>
      <c r="B94">
        <f>'C-speciation'!F96</f>
        <v>285.51458333333329</v>
      </c>
      <c r="C94" s="48">
        <v>1.7662777710726201</v>
      </c>
      <c r="D94" s="6">
        <f>(((C94/1000000)*((0.0013))*Volumes!B91/1000)*((Volumes!B91+Volumes!C91)/Volumes!C91))</f>
        <v>1.5223548108874911E-11</v>
      </c>
      <c r="E94" s="6">
        <f>(((Volumes!B91+Volumes!C91)/Volumes!C91)*(Volumes!C91/1000*(C94/1000000)))/(0.082057*308.15)</f>
        <v>1.5437375559581138E-9</v>
      </c>
      <c r="F94" s="4">
        <f>(D94+E94)*(1000/Volumes!D91)*1000000</f>
        <v>0.31179222081339769</v>
      </c>
      <c r="G94">
        <f t="shared" si="4"/>
        <v>1.8286379867595032E-3</v>
      </c>
      <c r="H94" s="28">
        <f t="shared" si="5"/>
        <v>170.50516453829067</v>
      </c>
      <c r="I94" s="25">
        <f t="shared" si="6"/>
        <v>89.73956028331088</v>
      </c>
      <c r="J94" s="28">
        <f t="shared" si="7"/>
        <v>3.7446245719689064</v>
      </c>
      <c r="P94" s="25"/>
      <c r="Q94" s="1"/>
      <c r="R94" s="1"/>
      <c r="S94" s="28"/>
      <c r="T94" s="28"/>
    </row>
    <row r="95" spans="1:20" ht="15" x14ac:dyDescent="0.2">
      <c r="A95" s="29" t="s">
        <v>182</v>
      </c>
      <c r="B95">
        <f>'C-speciation'!F97</f>
        <v>290.57291666666669</v>
      </c>
      <c r="C95" s="48">
        <v>2.1554815181514502</v>
      </c>
      <c r="D95" s="6">
        <f>(((C95/1000000)*((0.0013))*Volumes!B92/1000)*((Volumes!B92+Volumes!C92)/Volumes!C92))</f>
        <v>1.8578095204947349E-11</v>
      </c>
      <c r="E95" s="6">
        <f>(((Volumes!B92+Volumes!C92)/Volumes!C92)*(Volumes!C92/1000*(C95/1000000)))/(0.082057*308.15)</f>
        <v>1.8839040071954768E-9</v>
      </c>
      <c r="F95" s="4">
        <f>(D95+E95)*(1000/Volumes!D92)*1000000</f>
        <v>0.38049642048008481</v>
      </c>
      <c r="G95">
        <f t="shared" si="4"/>
        <v>1.6311844206044529E-3</v>
      </c>
      <c r="H95" s="28">
        <f t="shared" si="5"/>
        <v>233.26388829724587</v>
      </c>
      <c r="I95" s="25">
        <f t="shared" si="6"/>
        <v>122.77046752486625</v>
      </c>
      <c r="J95" s="28">
        <f t="shared" si="7"/>
        <v>4.5697620099658183</v>
      </c>
      <c r="P95" s="25"/>
      <c r="Q95" s="1"/>
      <c r="R95" s="1"/>
      <c r="S95" s="28"/>
      <c r="T95" s="28"/>
    </row>
    <row r="96" spans="1:20" ht="15" x14ac:dyDescent="0.2">
      <c r="A96" s="29" t="s">
        <v>183</v>
      </c>
      <c r="B96">
        <f>'C-speciation'!F98</f>
        <v>286.77979166666665</v>
      </c>
      <c r="C96" s="48">
        <v>2.87</v>
      </c>
      <c r="D96" s="6">
        <f>(((C96/1000000)*((0.0013))*Volumes!B93/1000)*((Volumes!B93+Volumes!C93)/Volumes!C93))</f>
        <v>2.4736529999999997E-11</v>
      </c>
      <c r="E96" s="6">
        <f>(((Volumes!B93+Volumes!C93)/Volumes!C93)*(Volumes!C93/1000*(C96/1000000)))/(0.082057*308.15)</f>
        <v>2.5083975228365291E-9</v>
      </c>
      <c r="F96" s="4">
        <f>(D96+E96)*(1000/Volumes!D93)*1000000</f>
        <v>0.50662681056730585</v>
      </c>
      <c r="G96">
        <f t="shared" si="4"/>
        <v>1.77495875700835E-3</v>
      </c>
      <c r="H96" s="28">
        <f t="shared" si="5"/>
        <v>285.43018735895197</v>
      </c>
      <c r="I96" s="25">
        <f t="shared" si="6"/>
        <v>150.2264143994484</v>
      </c>
      <c r="J96" s="28">
        <f t="shared" si="7"/>
        <v>6.0845879949133428</v>
      </c>
      <c r="P96" s="25"/>
      <c r="Q96" s="1"/>
      <c r="R96" s="1"/>
      <c r="S96" s="28"/>
      <c r="T96" s="28"/>
    </row>
    <row r="97" spans="1:20" ht="15" x14ac:dyDescent="0.2">
      <c r="A97" s="29" t="s">
        <v>184</v>
      </c>
      <c r="B97">
        <f>'C-speciation'!F99</f>
        <v>275.14999999999998</v>
      </c>
      <c r="C97" s="48" t="s">
        <v>93</v>
      </c>
      <c r="D97" s="6" t="e">
        <f>(((C97/1000000)*((0.0013))*Volumes!B94/1000)*((Volumes!B94+Volumes!C94)/Volumes!C94))</f>
        <v>#VALUE!</v>
      </c>
      <c r="E97" s="6" t="e">
        <f>(((Volumes!B94+Volumes!C94)/Volumes!C94)*(Volumes!C94/1000*(C97/1000000)))/(0.082057*308.15)</f>
        <v>#VALUE!</v>
      </c>
      <c r="F97" s="4" t="e">
        <f>(D97+E97)*(1000/Volumes!D94)*1000000</f>
        <v>#VALUE!</v>
      </c>
      <c r="G97">
        <f t="shared" si="4"/>
        <v>2.4114848528124858E-3</v>
      </c>
      <c r="H97" s="28" t="e">
        <f t="shared" si="5"/>
        <v>#VALUE!</v>
      </c>
      <c r="I97" s="25" t="e">
        <f t="shared" si="6"/>
        <v>#VALUE!</v>
      </c>
      <c r="J97" s="28" t="e">
        <f t="shared" si="7"/>
        <v>#VALUE!</v>
      </c>
      <c r="P97" s="25"/>
      <c r="Q97" s="1"/>
      <c r="R97" s="1"/>
      <c r="S97" s="28"/>
      <c r="T97" s="28"/>
    </row>
    <row r="98" spans="1:20" ht="15" x14ac:dyDescent="0.2">
      <c r="A98" s="29" t="s">
        <v>185</v>
      </c>
      <c r="B98">
        <f>'C-speciation'!F100</f>
        <v>275.14999999999998</v>
      </c>
      <c r="C98" s="48" t="s">
        <v>93</v>
      </c>
      <c r="D98" s="6" t="e">
        <f>(((C98/1000000)*((0.0013))*Volumes!B95/1000)*((Volumes!B95+Volumes!C95)/Volumes!C95))</f>
        <v>#VALUE!</v>
      </c>
      <c r="E98" s="6" t="e">
        <f>(((Volumes!B95+Volumes!C95)/Volumes!C95)*(Volumes!C95/1000*(C98/1000000)))/(0.082057*308.15)</f>
        <v>#VALUE!</v>
      </c>
      <c r="F98" s="4" t="e">
        <f>(D98+E98)*(1000/Volumes!D95)*1000000</f>
        <v>#VALUE!</v>
      </c>
      <c r="G98">
        <f t="shared" si="4"/>
        <v>2.4114848528124858E-3</v>
      </c>
      <c r="H98" s="28" t="e">
        <f t="shared" si="5"/>
        <v>#VALUE!</v>
      </c>
      <c r="I98" s="25" t="e">
        <f t="shared" si="6"/>
        <v>#VALUE!</v>
      </c>
      <c r="J98" s="28" t="e">
        <f t="shared" si="7"/>
        <v>#VALUE!</v>
      </c>
      <c r="P98" s="25"/>
      <c r="Q98" s="1"/>
      <c r="R98" s="1"/>
      <c r="S98" s="28"/>
      <c r="T98" s="28"/>
    </row>
    <row r="99" spans="1:20" ht="15" x14ac:dyDescent="0.2">
      <c r="A99" s="29" t="s">
        <v>186</v>
      </c>
      <c r="B99">
        <f>'C-speciation'!F101</f>
        <v>286.00937499999998</v>
      </c>
      <c r="C99" s="48">
        <v>2.3408900127158998</v>
      </c>
      <c r="D99" s="6">
        <f>(((C99/1000000)*((0.0013))*Volumes!B96/1000)*((Volumes!B96+Volumes!C96)/Volumes!C96))</f>
        <v>2.017613101959834E-11</v>
      </c>
      <c r="E99" s="6">
        <f>(((Volumes!B96+Volumes!C96)/Volumes!C96)*(Volumes!C96/1000*(C99/1000000)))/(0.082057*308.15)</f>
        <v>2.0459521634596983E-9</v>
      </c>
      <c r="F99" s="4">
        <f>(D99+E99)*(1000/Volumes!D96)*1000000</f>
        <v>0.41322565889585927</v>
      </c>
      <c r="G99">
        <f t="shared" si="4"/>
        <v>1.8072770566149637E-3</v>
      </c>
      <c r="H99" s="28">
        <f t="shared" si="5"/>
        <v>228.64544059992238</v>
      </c>
      <c r="I99" s="25">
        <f t="shared" si="6"/>
        <v>120.33970557890652</v>
      </c>
      <c r="J99" s="28">
        <f t="shared" si="7"/>
        <v>4.96284016333927</v>
      </c>
      <c r="P99" s="25"/>
      <c r="Q99" s="1"/>
      <c r="R99" s="1"/>
      <c r="S99" s="28"/>
      <c r="T99" s="28"/>
    </row>
    <row r="100" spans="1:20" ht="15" x14ac:dyDescent="0.2">
      <c r="A100" s="29" t="s">
        <v>187</v>
      </c>
      <c r="B100">
        <f>'C-speciation'!F102</f>
        <v>276.49512499999997</v>
      </c>
      <c r="C100" s="48" t="s">
        <v>93</v>
      </c>
      <c r="D100" s="6" t="e">
        <f>(((C100/1000000)*((0.0013))*Volumes!B97/1000)*((Volumes!B97+Volumes!C97)/Volumes!C97))</f>
        <v>#VALUE!</v>
      </c>
      <c r="E100" s="6" t="e">
        <f>(((Volumes!B97+Volumes!C97)/Volumes!C97)*(Volumes!C97/1000*(C100/1000000)))/(0.082057*308.15)</f>
        <v>#VALUE!</v>
      </c>
      <c r="F100" s="4" t="e">
        <f>(D100+E100)*(1000/Volumes!D97)*1000000</f>
        <v>#VALUE!</v>
      </c>
      <c r="G100">
        <f t="shared" si="4"/>
        <v>2.318465836493411E-3</v>
      </c>
      <c r="H100" s="28" t="e">
        <f t="shared" si="5"/>
        <v>#VALUE!</v>
      </c>
      <c r="I100" s="25" t="e">
        <f t="shared" si="6"/>
        <v>#VALUE!</v>
      </c>
      <c r="J100" s="28" t="e">
        <f t="shared" si="7"/>
        <v>#VALUE!</v>
      </c>
      <c r="P100" s="25"/>
      <c r="Q100" s="1"/>
      <c r="R100" s="1"/>
      <c r="S100" s="28"/>
      <c r="T100" s="28"/>
    </row>
    <row r="101" spans="1:20" ht="15" x14ac:dyDescent="0.2">
      <c r="A101" s="29" t="s">
        <v>188</v>
      </c>
      <c r="B101">
        <f>'C-speciation'!F103</f>
        <v>275.14999999999998</v>
      </c>
      <c r="C101" s="48" t="s">
        <v>93</v>
      </c>
      <c r="D101" s="6" t="e">
        <f>(((C101/1000000)*((0.0013))*Volumes!B98/1000)*((Volumes!B98+Volumes!C98)/Volumes!C98))</f>
        <v>#VALUE!</v>
      </c>
      <c r="E101" s="6" t="e">
        <f>(((Volumes!B98+Volumes!C98)/Volumes!C98)*(Volumes!C98/1000*(C101/1000000)))/(0.082057*308.15)</f>
        <v>#VALUE!</v>
      </c>
      <c r="F101" s="4" t="e">
        <f>(D101+E101)*(1000/Volumes!D98)*1000000</f>
        <v>#VALUE!</v>
      </c>
      <c r="G101">
        <f t="shared" si="4"/>
        <v>2.4114848528124858E-3</v>
      </c>
      <c r="H101" s="28" t="e">
        <f t="shared" si="5"/>
        <v>#VALUE!</v>
      </c>
      <c r="I101" s="25" t="e">
        <f t="shared" si="6"/>
        <v>#VALUE!</v>
      </c>
      <c r="J101" s="28" t="e">
        <f t="shared" si="7"/>
        <v>#VALUE!</v>
      </c>
      <c r="P101" s="25"/>
      <c r="Q101" s="1"/>
      <c r="R101" s="1"/>
      <c r="S101" s="28"/>
      <c r="T101" s="28"/>
    </row>
    <row r="102" spans="1:20" ht="15" x14ac:dyDescent="0.2">
      <c r="A102" s="29" t="s">
        <v>189</v>
      </c>
      <c r="B102">
        <f>'C-speciation'!F104</f>
        <v>275.57840625</v>
      </c>
      <c r="C102" s="48">
        <v>0.73421828614917595</v>
      </c>
      <c r="D102" s="6">
        <f>(((C102/1000000)*((0.0013))*Volumes!B99/1000)*((Volumes!B99+Volumes!C99)/Volumes!C99))</f>
        <v>6.328227408319748E-12</v>
      </c>
      <c r="E102" s="6">
        <f>(((Volumes!B99+Volumes!C99)/Volumes!C99)*(Volumes!C99/1000*(C102/1000000)))/(0.082057*308.15)</f>
        <v>6.4171126487730833E-10</v>
      </c>
      <c r="F102" s="4">
        <f>(D102+E102)*(1000/Volumes!D99)*1000000</f>
        <v>0.12960789845712564</v>
      </c>
      <c r="G102">
        <f t="shared" si="4"/>
        <v>2.3811853168306057E-3</v>
      </c>
      <c r="H102" s="28">
        <f t="shared" si="5"/>
        <v>54.429992298808457</v>
      </c>
      <c r="I102" s="25">
        <f t="shared" si="6"/>
        <v>28.647364367793926</v>
      </c>
      <c r="J102" s="28">
        <f t="shared" si="7"/>
        <v>1.5565908604700789</v>
      </c>
      <c r="P102" s="25"/>
      <c r="Q102" s="1"/>
      <c r="R102" s="1"/>
      <c r="S102" s="28"/>
      <c r="T102" s="28"/>
    </row>
    <row r="103" spans="1:20" ht="15" x14ac:dyDescent="0.2">
      <c r="A103" s="29" t="s">
        <v>190</v>
      </c>
      <c r="B103">
        <f>'C-speciation'!F105</f>
        <v>275.14999999999998</v>
      </c>
      <c r="C103" s="48" t="s">
        <v>93</v>
      </c>
      <c r="D103" s="6" t="e">
        <f>(((C103/1000000)*((0.0013))*Volumes!B100/1000)*((Volumes!B100+Volumes!C100)/Volumes!C100))</f>
        <v>#VALUE!</v>
      </c>
      <c r="E103" s="6" t="e">
        <f>(((Volumes!B100+Volumes!C100)/Volumes!C100)*(Volumes!C100/1000*(C103/1000000)))/(0.082057*308.15)</f>
        <v>#VALUE!</v>
      </c>
      <c r="F103" s="4" t="e">
        <f>(D103+E103)*(1000/Volumes!D100)*1000000</f>
        <v>#VALUE!</v>
      </c>
      <c r="G103">
        <f t="shared" si="4"/>
        <v>2.4114848528124858E-3</v>
      </c>
      <c r="H103" s="28" t="e">
        <f t="shared" si="5"/>
        <v>#VALUE!</v>
      </c>
      <c r="I103" s="25" t="e">
        <f t="shared" si="6"/>
        <v>#VALUE!</v>
      </c>
      <c r="J103" s="28" t="e">
        <f t="shared" si="7"/>
        <v>#VALUE!</v>
      </c>
      <c r="P103" s="25"/>
      <c r="Q103" s="1"/>
      <c r="R103" s="1"/>
      <c r="S103" s="28"/>
      <c r="T103" s="28"/>
    </row>
    <row r="104" spans="1:20" ht="15" x14ac:dyDescent="0.2">
      <c r="A104" s="29" t="s">
        <v>191</v>
      </c>
      <c r="B104">
        <f>'C-speciation'!F106</f>
        <v>289.72322916666667</v>
      </c>
      <c r="C104" s="48">
        <v>6.52</v>
      </c>
      <c r="D104" s="6">
        <f>(((C104/1000000)*((0.0013))*Volumes!B101/1000)*((Volumes!B101+Volumes!C101)/Volumes!C101))</f>
        <v>5.6195879999999991E-11</v>
      </c>
      <c r="E104" s="6">
        <f>(((Volumes!B101+Volumes!C101)/Volumes!C101)*(Volumes!C101/1000*(C104/1000000)))/(0.082057*308.15)</f>
        <v>5.6985198079770621E-9</v>
      </c>
      <c r="F104" s="4">
        <f>(D104+E104)*(1000/Volumes!D101)*1000000</f>
        <v>1.1509431375954124</v>
      </c>
      <c r="G104">
        <f t="shared" si="4"/>
        <v>1.661311175073947E-3</v>
      </c>
      <c r="H104" s="28">
        <f t="shared" si="5"/>
        <v>692.79202768510993</v>
      </c>
      <c r="I104" s="25">
        <f t="shared" si="6"/>
        <v>364.62738299216312</v>
      </c>
      <c r="J104" s="28">
        <f t="shared" si="7"/>
        <v>13.822827082520904</v>
      </c>
      <c r="P104" s="25"/>
      <c r="Q104" s="1"/>
      <c r="R104" s="1"/>
      <c r="S104" s="28"/>
      <c r="T104" s="28"/>
    </row>
    <row r="105" spans="1:20" ht="15" x14ac:dyDescent="0.2">
      <c r="A105" s="29" t="s">
        <v>192</v>
      </c>
      <c r="B105">
        <f>'C-speciation'!F107</f>
        <v>275.14999999999998</v>
      </c>
      <c r="C105" s="48" t="s">
        <v>93</v>
      </c>
      <c r="D105" s="6" t="e">
        <f>(((C105/1000000)*((0.0013))*Volumes!B102/1000)*((Volumes!B102+Volumes!C102)/Volumes!C102))</f>
        <v>#VALUE!</v>
      </c>
      <c r="E105" s="6" t="e">
        <f>(((Volumes!B102+Volumes!C102)/Volumes!C102)*(Volumes!C102/1000*(C105/1000000)))/(0.082057*308.15)</f>
        <v>#VALUE!</v>
      </c>
      <c r="F105" s="4" t="e">
        <f>(D105+E105)*(1000/Volumes!D102)*1000000</f>
        <v>#VALUE!</v>
      </c>
      <c r="G105">
        <f t="shared" si="4"/>
        <v>2.4114848528124858E-3</v>
      </c>
      <c r="H105" s="28" t="e">
        <f t="shared" si="5"/>
        <v>#VALUE!</v>
      </c>
      <c r="I105" s="25" t="e">
        <f t="shared" si="6"/>
        <v>#VALUE!</v>
      </c>
      <c r="J105" s="28" t="e">
        <f t="shared" si="7"/>
        <v>#VALUE!</v>
      </c>
      <c r="P105" s="25"/>
      <c r="Q105" s="1"/>
      <c r="R105" s="1"/>
      <c r="S105" s="28"/>
      <c r="T105" s="28"/>
    </row>
    <row r="106" spans="1:20" ht="15" x14ac:dyDescent="0.2">
      <c r="A106" s="29" t="s">
        <v>193</v>
      </c>
      <c r="B106">
        <f>'C-speciation'!F108</f>
        <v>275.14999999999998</v>
      </c>
      <c r="C106" s="48" t="s">
        <v>93</v>
      </c>
      <c r="D106" s="6" t="e">
        <f>(((C106/1000000)*((0.0013))*Volumes!B103/1000)*((Volumes!B103+Volumes!C103)/Volumes!C103))</f>
        <v>#VALUE!</v>
      </c>
      <c r="E106" s="6" t="e">
        <f>(((Volumes!B103+Volumes!C103)/Volumes!C103)*(Volumes!C103/1000*(C106/1000000)))/(0.082057*308.15)</f>
        <v>#VALUE!</v>
      </c>
      <c r="F106" s="4" t="e">
        <f>(D106+E106)*(1000/Volumes!D103)*1000000</f>
        <v>#VALUE!</v>
      </c>
      <c r="G106">
        <f t="shared" si="4"/>
        <v>2.4114848528124858E-3</v>
      </c>
      <c r="H106" s="28" t="e">
        <f t="shared" si="5"/>
        <v>#VALUE!</v>
      </c>
      <c r="I106" s="25" t="e">
        <f t="shared" si="6"/>
        <v>#VALUE!</v>
      </c>
      <c r="J106" s="28" t="e">
        <f t="shared" si="7"/>
        <v>#VALUE!</v>
      </c>
      <c r="P106" s="25"/>
      <c r="Q106" s="1"/>
      <c r="R106" s="1"/>
      <c r="S106" s="28"/>
      <c r="T106" s="28"/>
    </row>
    <row r="107" spans="1:20" ht="15" x14ac:dyDescent="0.2">
      <c r="A107" s="29" t="s">
        <v>194</v>
      </c>
      <c r="B107">
        <f>'C-speciation'!F109</f>
        <v>275.14999999999998</v>
      </c>
      <c r="C107" s="48" t="s">
        <v>93</v>
      </c>
      <c r="D107" s="6" t="e">
        <f>(((C107/1000000)*((0.0013))*Volumes!B104/1000)*((Volumes!B104+Volumes!C104)/Volumes!C104))</f>
        <v>#VALUE!</v>
      </c>
      <c r="E107" s="6" t="e">
        <f>(((Volumes!B104+Volumes!C104)/Volumes!C104)*(Volumes!C104/1000*(C107/1000000)))/(0.082057*308.15)</f>
        <v>#VALUE!</v>
      </c>
      <c r="F107" s="4" t="e">
        <f>(D107+E107)*(1000/Volumes!D104)*1000000</f>
        <v>#VALUE!</v>
      </c>
      <c r="G107">
        <f t="shared" si="4"/>
        <v>2.4114848528124858E-3</v>
      </c>
      <c r="H107" s="28" t="e">
        <f t="shared" si="5"/>
        <v>#VALUE!</v>
      </c>
      <c r="I107" s="25" t="e">
        <f t="shared" si="6"/>
        <v>#VALUE!</v>
      </c>
      <c r="J107" s="28" t="e">
        <f t="shared" si="7"/>
        <v>#VALUE!</v>
      </c>
      <c r="P107" s="25"/>
      <c r="Q107" s="1"/>
      <c r="R107" s="1"/>
      <c r="S107" s="28"/>
      <c r="T107" s="28"/>
    </row>
    <row r="108" spans="1:20" ht="15" x14ac:dyDescent="0.2">
      <c r="A108" s="29" t="s">
        <v>195</v>
      </c>
      <c r="B108">
        <f>'C-speciation'!F110</f>
        <v>282.65781249999998</v>
      </c>
      <c r="C108" s="48">
        <v>13.43</v>
      </c>
      <c r="D108" s="6">
        <f>(((C108/1000000)*((0.0013))*Volumes!B105/1000)*((Volumes!B105+Volumes!C105)/Volumes!C105))</f>
        <v>1.1575317000000001E-10</v>
      </c>
      <c r="E108" s="6">
        <f>(((Volumes!B105+Volumes!C105)/Volumes!C105)*(Volumes!C105/1000*(C108/1000000)))/(0.082057*308.15)</f>
        <v>1.1737901997106128E-8</v>
      </c>
      <c r="F108" s="4">
        <f>(D108+E108)*(1000/Volumes!D105)*1000000</f>
        <v>2.3707310334212255</v>
      </c>
      <c r="G108">
        <f t="shared" si="4"/>
        <v>1.9619252504745853E-3</v>
      </c>
      <c r="H108" s="28">
        <f t="shared" si="5"/>
        <v>1208.3697036101405</v>
      </c>
      <c r="I108" s="25">
        <f t="shared" si="6"/>
        <v>635.98405453165287</v>
      </c>
      <c r="J108" s="28">
        <f t="shared" si="7"/>
        <v>28.472479711388917</v>
      </c>
      <c r="P108" s="25"/>
      <c r="Q108" s="1"/>
      <c r="R108" s="1"/>
      <c r="S108" s="28"/>
      <c r="T108" s="28"/>
    </row>
    <row r="109" spans="1:20" x14ac:dyDescent="0.15">
      <c r="A109" s="25" t="s">
        <v>196</v>
      </c>
      <c r="B109">
        <f>'C-speciation'!F111</f>
        <v>275.14999999999998</v>
      </c>
      <c r="C109" s="48" t="s">
        <v>93</v>
      </c>
      <c r="D109" s="6" t="e">
        <f>(((C109/1000000)*((0.0013))*Volumes!B106/1000)*((Volumes!B106+Volumes!C106)/Volumes!C106))</f>
        <v>#VALUE!</v>
      </c>
      <c r="E109" s="6" t="e">
        <f>(((Volumes!B106+Volumes!C106)/Volumes!C106)*(Volumes!C106/1000*(C109/1000000)))/(0.082057*308.15)</f>
        <v>#VALUE!</v>
      </c>
      <c r="F109" s="4" t="e">
        <f>(D109+E109)*(1000/Volumes!D106)*1000000</f>
        <v>#VALUE!</v>
      </c>
      <c r="G109">
        <f t="shared" si="4"/>
        <v>2.4114848528124858E-3</v>
      </c>
      <c r="H109" s="28" t="e">
        <f t="shared" si="5"/>
        <v>#VALUE!</v>
      </c>
      <c r="I109" s="25" t="e">
        <f t="shared" si="6"/>
        <v>#VALUE!</v>
      </c>
      <c r="J109" s="28" t="e">
        <f t="shared" si="7"/>
        <v>#VALUE!</v>
      </c>
      <c r="P109" s="25"/>
      <c r="Q109" s="1"/>
      <c r="R109" s="1"/>
      <c r="S109" s="28"/>
      <c r="T109" s="28"/>
    </row>
    <row r="110" spans="1:20" x14ac:dyDescent="0.15">
      <c r="A110" t="s">
        <v>197</v>
      </c>
      <c r="B110">
        <f>'C-speciation'!F112</f>
        <v>275.14999999999998</v>
      </c>
      <c r="C110" s="48" t="s">
        <v>93</v>
      </c>
      <c r="D110" s="6" t="e">
        <f>(((C110/1000000)*((0.0013))*Volumes!B107/1000)*((Volumes!B107+Volumes!C107)/Volumes!C107))</f>
        <v>#VALUE!</v>
      </c>
      <c r="E110" s="6" t="e">
        <f>(((Volumes!B107+Volumes!C107)/Volumes!C107)*(Volumes!C107/1000*(C110/1000000)))/(0.082057*308.15)</f>
        <v>#VALUE!</v>
      </c>
      <c r="F110" s="4" t="e">
        <f>(D110+E110)*(1000/Volumes!D107)*1000000</f>
        <v>#VALUE!</v>
      </c>
      <c r="G110">
        <f t="shared" si="4"/>
        <v>2.4114848528124858E-3</v>
      </c>
      <c r="H110" s="28" t="e">
        <f t="shared" si="5"/>
        <v>#VALUE!</v>
      </c>
      <c r="I110" s="25" t="e">
        <f t="shared" si="6"/>
        <v>#VALUE!</v>
      </c>
      <c r="J110" s="28" t="e">
        <f t="shared" si="7"/>
        <v>#VALUE!</v>
      </c>
      <c r="P110" s="25"/>
      <c r="Q110" s="1"/>
      <c r="R110" s="1"/>
      <c r="S110" s="28"/>
      <c r="T110" s="28"/>
    </row>
    <row r="111" spans="1:20" x14ac:dyDescent="0.15">
      <c r="A111" t="s">
        <v>176</v>
      </c>
      <c r="B111">
        <f>'C-speciation'!F113</f>
        <v>275.14999999999998</v>
      </c>
      <c r="C111" s="48" t="s">
        <v>93</v>
      </c>
      <c r="D111" s="6" t="e">
        <f>(((C111/1000000)*((0.0013))*Volumes!B108/1000)*((Volumes!B108+Volumes!C108)/Volumes!C108))</f>
        <v>#VALUE!</v>
      </c>
      <c r="E111" s="6" t="e">
        <f>(((Volumes!B108+Volumes!C108)/Volumes!C108)*(Volumes!C108/1000*(C111/1000000)))/(0.082057*308.15)</f>
        <v>#VALUE!</v>
      </c>
      <c r="F111" s="4" t="e">
        <f>(D111+E111)*(1000/Volumes!D108)*1000000</f>
        <v>#VALUE!</v>
      </c>
      <c r="G111">
        <f t="shared" si="4"/>
        <v>2.4114848528124858E-3</v>
      </c>
      <c r="H111" s="28" t="e">
        <f t="shared" si="5"/>
        <v>#VALUE!</v>
      </c>
      <c r="I111" s="25" t="e">
        <f t="shared" si="6"/>
        <v>#VALUE!</v>
      </c>
      <c r="J111" s="28" t="e">
        <f t="shared" si="7"/>
        <v>#VALUE!</v>
      </c>
    </row>
    <row r="112" spans="1:20" x14ac:dyDescent="0.15">
      <c r="A112" t="s">
        <v>198</v>
      </c>
      <c r="B112">
        <f>'C-speciation'!F114</f>
        <v>288.03625</v>
      </c>
      <c r="C112" s="48" t="s">
        <v>93</v>
      </c>
      <c r="D112" s="6" t="e">
        <f>(((C112/1000000)*((0.0013))*Volumes!B109/1000)*((Volumes!B109+Volumes!C109)/Volumes!C109))</f>
        <v>#VALUE!</v>
      </c>
      <c r="E112" s="6" t="e">
        <f>(((Volumes!B109+Volumes!C109)/Volumes!C109)*(Volumes!C109/1000*(C112/1000000)))/(0.082057*308.15)</f>
        <v>#VALUE!</v>
      </c>
      <c r="F112" s="4" t="e">
        <f>(D112+E112)*(1000/Volumes!D109)*1000000</f>
        <v>#VALUE!</v>
      </c>
      <c r="G112">
        <f t="shared" si="4"/>
        <v>1.7246067763071577E-3</v>
      </c>
      <c r="H112" s="28" t="e">
        <f t="shared" si="5"/>
        <v>#VALUE!</v>
      </c>
      <c r="I112" s="25" t="e">
        <f t="shared" si="6"/>
        <v>#VALUE!</v>
      </c>
      <c r="J112" s="28" t="e">
        <f t="shared" si="7"/>
        <v>#VALUE!</v>
      </c>
    </row>
    <row r="113" spans="1:10" x14ac:dyDescent="0.15">
      <c r="A113" t="s">
        <v>199</v>
      </c>
      <c r="B113">
        <f>'C-speciation'!F115</f>
        <v>275.14999999999998</v>
      </c>
      <c r="C113" s="48" t="s">
        <v>93</v>
      </c>
      <c r="D113" s="6" t="e">
        <f>(((C113/1000000)*((0.0013))*Volumes!B110/1000)*((Volumes!B110+Volumes!C110)/Volumes!C110))</f>
        <v>#VALUE!</v>
      </c>
      <c r="E113" s="6" t="e">
        <f>(((Volumes!B110+Volumes!C110)/Volumes!C110)*(Volumes!C110/1000*(C113/1000000)))/(0.082057*308.15)</f>
        <v>#VALUE!</v>
      </c>
      <c r="F113" s="4" t="e">
        <f>(D113+E113)*(1000/Volumes!D110)*1000000</f>
        <v>#VALUE!</v>
      </c>
      <c r="G113">
        <f t="shared" si="4"/>
        <v>2.4114848528124858E-3</v>
      </c>
      <c r="H113" s="28" t="e">
        <f t="shared" si="5"/>
        <v>#VALUE!</v>
      </c>
      <c r="I113" s="25" t="e">
        <f t="shared" si="6"/>
        <v>#VALUE!</v>
      </c>
      <c r="J113" s="28" t="e">
        <f t="shared" si="7"/>
        <v>#VALUE!</v>
      </c>
    </row>
    <row r="114" spans="1:10" x14ac:dyDescent="0.15">
      <c r="A114" t="s">
        <v>200</v>
      </c>
      <c r="B114">
        <f>'C-speciation'!F116</f>
        <v>275.14999999999998</v>
      </c>
      <c r="C114" s="48" t="s">
        <v>93</v>
      </c>
      <c r="D114" s="6" t="e">
        <f>(((C114/1000000)*((0.0013))*Volumes!B111/1000)*((Volumes!B111+Volumes!C111)/Volumes!C111))</f>
        <v>#VALUE!</v>
      </c>
      <c r="E114" s="6" t="e">
        <f>(((Volumes!B111+Volumes!C111)/Volumes!C111)*(Volumes!C111/1000*(C114/1000000)))/(0.082057*308.15)</f>
        <v>#VALUE!</v>
      </c>
      <c r="F114" s="4" t="e">
        <f>(D114+E114)*(1000/Volumes!D111)*1000000</f>
        <v>#VALUE!</v>
      </c>
      <c r="G114">
        <f t="shared" si="4"/>
        <v>2.4114848528124858E-3</v>
      </c>
      <c r="H114" s="28" t="e">
        <f t="shared" si="5"/>
        <v>#VALUE!</v>
      </c>
      <c r="I114" s="25" t="e">
        <f t="shared" si="6"/>
        <v>#VALUE!</v>
      </c>
      <c r="J114" s="28" t="e">
        <f t="shared" si="7"/>
        <v>#VALUE!</v>
      </c>
    </row>
    <row r="115" spans="1:10" x14ac:dyDescent="0.15">
      <c r="A115" t="s">
        <v>201</v>
      </c>
      <c r="B115">
        <f>'C-speciation'!F117</f>
        <v>287.2439583333333</v>
      </c>
      <c r="C115" s="48" t="s">
        <v>93</v>
      </c>
      <c r="D115" s="6" t="e">
        <f>(((C115/1000000)*((0.0013))*Volumes!B112/1000)*((Volumes!B112+Volumes!C112)/Volumes!C112))</f>
        <v>#VALUE!</v>
      </c>
      <c r="E115" s="6" t="e">
        <f>(((Volumes!B112+Volumes!C112)/Volumes!C112)*(Volumes!C112/1000*(C115/1000000)))/(0.082057*308.15)</f>
        <v>#VALUE!</v>
      </c>
      <c r="F115" s="4" t="e">
        <f>(D115+E115)*(1000/Volumes!D112)*1000000</f>
        <v>#VALUE!</v>
      </c>
      <c r="G115">
        <f t="shared" si="4"/>
        <v>1.7560246126658069E-3</v>
      </c>
      <c r="H115" s="28" t="e">
        <f t="shared" si="5"/>
        <v>#VALUE!</v>
      </c>
      <c r="I115" s="25" t="e">
        <f t="shared" si="6"/>
        <v>#VALUE!</v>
      </c>
      <c r="J115" s="28" t="e">
        <f t="shared" si="7"/>
        <v>#VALUE!</v>
      </c>
    </row>
    <row r="116" spans="1:10" x14ac:dyDescent="0.15">
      <c r="A116" t="s">
        <v>202</v>
      </c>
      <c r="B116">
        <f>'C-speciation'!F118</f>
        <v>275.14999999999998</v>
      </c>
      <c r="C116" s="48" t="s">
        <v>93</v>
      </c>
      <c r="D116" s="6" t="e">
        <f>(((C116/1000000)*((0.0013))*Volumes!B113/1000)*((Volumes!B113+Volumes!C113)/Volumes!C113))</f>
        <v>#VALUE!</v>
      </c>
      <c r="E116" s="6" t="e">
        <f>(((Volumes!B113+Volumes!C113)/Volumes!C113)*(Volumes!C113/1000*(C116/1000000)))/(0.082057*308.15)</f>
        <v>#VALUE!</v>
      </c>
      <c r="F116" s="4" t="e">
        <f>(D116+E116)*(1000/Volumes!D113)*1000000</f>
        <v>#VALUE!</v>
      </c>
      <c r="G116">
        <f t="shared" si="4"/>
        <v>2.4114848528124858E-3</v>
      </c>
      <c r="H116" s="28" t="e">
        <f t="shared" si="5"/>
        <v>#VALUE!</v>
      </c>
      <c r="I116" s="25" t="e">
        <f t="shared" si="6"/>
        <v>#VALUE!</v>
      </c>
      <c r="J116" s="28" t="e">
        <f t="shared" si="7"/>
        <v>#VALUE!</v>
      </c>
    </row>
    <row r="117" spans="1:10" x14ac:dyDescent="0.15">
      <c r="A117" s="25" t="s">
        <v>203</v>
      </c>
      <c r="B117">
        <f>'C-speciation'!F119</f>
        <v>275.14999999999998</v>
      </c>
      <c r="C117" s="48" t="s">
        <v>93</v>
      </c>
      <c r="D117" s="6" t="e">
        <f>(((C117/1000000)*((0.0013))*Volumes!B114/1000)*((Volumes!B114+Volumes!C114)/Volumes!C114))</f>
        <v>#VALUE!</v>
      </c>
      <c r="E117" s="6" t="e">
        <f>(((Volumes!B114+Volumes!C114)/Volumes!C114)*(Volumes!C114/1000*(C117/1000000)))/(0.082057*308.15)</f>
        <v>#VALUE!</v>
      </c>
      <c r="F117" s="4" t="e">
        <f>(D117+E117)*(1000/Volumes!D114)*1000000</f>
        <v>#VALUE!</v>
      </c>
      <c r="G117">
        <f t="shared" si="4"/>
        <v>2.4114848528124858E-3</v>
      </c>
      <c r="H117" s="28" t="e">
        <f t="shared" si="5"/>
        <v>#VALUE!</v>
      </c>
      <c r="I117" s="25" t="e">
        <f t="shared" si="6"/>
        <v>#VALUE!</v>
      </c>
      <c r="J117" s="28" t="e">
        <f t="shared" si="7"/>
        <v>#VALUE!</v>
      </c>
    </row>
    <row r="118" spans="1:10" x14ac:dyDescent="0.15">
      <c r="A118" s="25" t="s">
        <v>204</v>
      </c>
      <c r="B118">
        <f>'C-speciation'!F120</f>
        <v>281.86470833333328</v>
      </c>
      <c r="C118" s="48" t="s">
        <v>93</v>
      </c>
      <c r="D118" s="6" t="e">
        <f>(((C118/1000000)*((0.0013))*Volumes!B115/1000)*((Volumes!B115+Volumes!C115)/Volumes!C115))</f>
        <v>#VALUE!</v>
      </c>
      <c r="E118" s="6" t="e">
        <f>(((Volumes!B115+Volumes!C115)/Volumes!C115)*(Volumes!C115/1000*(C118/1000000)))/(0.082057*308.15)</f>
        <v>#VALUE!</v>
      </c>
      <c r="F118" s="4" t="e">
        <f>(D118+E118)*(1000/Volumes!D115)*1000000</f>
        <v>#VALUE!</v>
      </c>
      <c r="G118">
        <f t="shared" si="4"/>
        <v>2.0021707563625708E-3</v>
      </c>
      <c r="H118" s="28" t="e">
        <f t="shared" si="5"/>
        <v>#VALUE!</v>
      </c>
      <c r="I118" s="25" t="e">
        <f t="shared" si="6"/>
        <v>#VALUE!</v>
      </c>
      <c r="J118" s="28" t="e">
        <f t="shared" si="7"/>
        <v>#VALUE!</v>
      </c>
    </row>
    <row r="119" spans="1:10" x14ac:dyDescent="0.15">
      <c r="A119" s="25" t="s">
        <v>205</v>
      </c>
      <c r="B119">
        <f>'C-speciation'!F121</f>
        <v>280.78694791666663</v>
      </c>
      <c r="C119" s="48" t="s">
        <v>93</v>
      </c>
      <c r="D119" s="6" t="e">
        <f>(((C119/1000000)*((0.0013))*Volumes!B116/1000)*((Volumes!B116+Volumes!C116)/Volumes!C116))</f>
        <v>#VALUE!</v>
      </c>
      <c r="E119" s="6" t="e">
        <f>(((Volumes!B116+Volumes!C116)/Volumes!C116)*(Volumes!C116/1000*(C119/1000000)))/(0.082057*308.15)</f>
        <v>#VALUE!</v>
      </c>
      <c r="F119" s="4" t="e">
        <f>(D119+E119)*(1000/Volumes!D116)*1000000</f>
        <v>#VALUE!</v>
      </c>
      <c r="G119">
        <f t="shared" si="4"/>
        <v>2.0593196389409574E-3</v>
      </c>
      <c r="H119" s="28" t="e">
        <f t="shared" si="5"/>
        <v>#VALUE!</v>
      </c>
      <c r="I119" s="25" t="e">
        <f t="shared" si="6"/>
        <v>#VALUE!</v>
      </c>
      <c r="J119" s="28" t="e">
        <f t="shared" si="7"/>
        <v>#VALUE!</v>
      </c>
    </row>
    <row r="120" spans="1:10" x14ac:dyDescent="0.15">
      <c r="A120" s="25" t="s">
        <v>206</v>
      </c>
      <c r="B120">
        <f>'C-speciation'!F122</f>
        <v>275.14999999999998</v>
      </c>
      <c r="C120" s="48" t="s">
        <v>93</v>
      </c>
      <c r="D120" s="6" t="e">
        <f>(((C120/1000000)*((0.0013))*Volumes!B117/1000)*((Volumes!B117+Volumes!C117)/Volumes!C117))</f>
        <v>#VALUE!</v>
      </c>
      <c r="E120" s="6" t="e">
        <f>(((Volumes!B117+Volumes!C117)/Volumes!C117)*(Volumes!C117/1000*(C120/1000000)))/(0.082057*308.15)</f>
        <v>#VALUE!</v>
      </c>
      <c r="F120" s="4" t="e">
        <f>(D120+E120)*(1000/Volumes!D117)*1000000</f>
        <v>#VALUE!</v>
      </c>
      <c r="G120">
        <f t="shared" si="4"/>
        <v>2.4114848528124858E-3</v>
      </c>
      <c r="H120" s="28" t="e">
        <f t="shared" si="5"/>
        <v>#VALUE!</v>
      </c>
      <c r="I120" s="25" t="e">
        <f t="shared" si="6"/>
        <v>#VALUE!</v>
      </c>
      <c r="J120" s="28" t="e">
        <f t="shared" si="7"/>
        <v>#VALUE!</v>
      </c>
    </row>
    <row r="121" spans="1:10" x14ac:dyDescent="0.15">
      <c r="A121" s="25" t="s">
        <v>207</v>
      </c>
      <c r="B121">
        <f>'C-speciation'!F123</f>
        <v>275.14999999999998</v>
      </c>
      <c r="C121" s="48" t="s">
        <v>93</v>
      </c>
      <c r="D121" s="6" t="e">
        <f>(((C121/1000000)*((0.0013))*Volumes!B118/1000)*((Volumes!B118+Volumes!C118)/Volumes!C118))</f>
        <v>#VALUE!</v>
      </c>
      <c r="E121" s="6" t="e">
        <f>(((Volumes!B118+Volumes!C118)/Volumes!C118)*(Volumes!C118/1000*(C121/1000000)))/(0.082057*308.15)</f>
        <v>#VALUE!</v>
      </c>
      <c r="F121" s="4" t="e">
        <f>(D121+E121)*(1000/Volumes!D118)*1000000</f>
        <v>#VALUE!</v>
      </c>
      <c r="G121">
        <f t="shared" si="4"/>
        <v>2.4114848528124858E-3</v>
      </c>
      <c r="H121" s="28" t="e">
        <f t="shared" si="5"/>
        <v>#VALUE!</v>
      </c>
      <c r="I121" s="25" t="e">
        <f t="shared" si="6"/>
        <v>#VALUE!</v>
      </c>
      <c r="J121" s="28" t="e">
        <f t="shared" si="7"/>
        <v>#VALUE!</v>
      </c>
    </row>
    <row r="122" spans="1:10" x14ac:dyDescent="0.15">
      <c r="A122" s="25" t="s">
        <v>208</v>
      </c>
      <c r="B122">
        <f>'C-speciation'!F124</f>
        <v>275.57840625</v>
      </c>
      <c r="C122" s="48" t="s">
        <v>93</v>
      </c>
      <c r="D122" s="6" t="e">
        <f>(((C122/1000000)*((0.0013))*Volumes!B119/1000)*((Volumes!B119+Volumes!C119)/Volumes!C119))</f>
        <v>#VALUE!</v>
      </c>
      <c r="E122" s="6" t="e">
        <f>(((Volumes!B119+Volumes!C119)/Volumes!C119)*(Volumes!C119/1000*(C122/1000000)))/(0.082057*308.15)</f>
        <v>#VALUE!</v>
      </c>
      <c r="F122" s="4" t="e">
        <f>(D122+E122)*(1000/Volumes!D119)*1000000</f>
        <v>#VALUE!</v>
      </c>
      <c r="G122">
        <f t="shared" si="4"/>
        <v>2.3811853168306057E-3</v>
      </c>
      <c r="H122" s="28" t="e">
        <f t="shared" si="5"/>
        <v>#VALUE!</v>
      </c>
      <c r="I122" s="25" t="e">
        <f t="shared" si="6"/>
        <v>#VALUE!</v>
      </c>
      <c r="J122" s="28" t="e">
        <f t="shared" si="7"/>
        <v>#VALUE!</v>
      </c>
    </row>
    <row r="123" spans="1:10" x14ac:dyDescent="0.15">
      <c r="A123" t="s">
        <v>209</v>
      </c>
      <c r="B123">
        <f>'C-speciation'!F125</f>
        <v>286.00937499999998</v>
      </c>
      <c r="C123" s="48" t="s">
        <v>93</v>
      </c>
      <c r="D123" s="6" t="e">
        <f>(((C123/1000000)*((0.0013))*Volumes!B120/1000)*((Volumes!B120+Volumes!C120)/Volumes!C120))</f>
        <v>#VALUE!</v>
      </c>
      <c r="E123" s="6" t="e">
        <f>(((Volumes!B120+Volumes!C120)/Volumes!C120)*(Volumes!C120/1000*(C123/1000000)))/(0.082057*308.15)</f>
        <v>#VALUE!</v>
      </c>
      <c r="F123" s="4" t="e">
        <f>(D123+E123)*(1000/Volumes!D120)*1000000</f>
        <v>#VALUE!</v>
      </c>
      <c r="G123">
        <f t="shared" si="4"/>
        <v>1.8072770566149637E-3</v>
      </c>
      <c r="H123" s="28" t="e">
        <f t="shared" si="5"/>
        <v>#VALUE!</v>
      </c>
      <c r="I123" s="25" t="e">
        <f t="shared" si="6"/>
        <v>#VALUE!</v>
      </c>
      <c r="J123" s="28" t="e">
        <f t="shared" si="7"/>
        <v>#VALUE!</v>
      </c>
    </row>
    <row r="124" spans="1:10" x14ac:dyDescent="0.15">
      <c r="A124" t="s">
        <v>210</v>
      </c>
      <c r="B124">
        <f>'C-speciation'!F126</f>
        <v>275.14999999999998</v>
      </c>
      <c r="C124" s="48" t="s">
        <v>93</v>
      </c>
      <c r="D124" s="6" t="e">
        <f>(((C124/1000000)*((0.0013))*Volumes!B121/1000)*((Volumes!B121+Volumes!C121)/Volumes!C121))</f>
        <v>#VALUE!</v>
      </c>
      <c r="E124" s="6" t="e">
        <f>(((Volumes!B121+Volumes!C121)/Volumes!C121)*(Volumes!C121/1000*(C124/1000000)))/(0.082057*308.15)</f>
        <v>#VALUE!</v>
      </c>
      <c r="F124" s="4" t="e">
        <f>(D124+E124)*(1000/Volumes!D121)*1000000</f>
        <v>#VALUE!</v>
      </c>
      <c r="G124">
        <f t="shared" si="4"/>
        <v>2.4114848528124858E-3</v>
      </c>
      <c r="H124" s="28" t="e">
        <f t="shared" si="5"/>
        <v>#VALUE!</v>
      </c>
      <c r="I124" s="25" t="e">
        <f t="shared" si="6"/>
        <v>#VALUE!</v>
      </c>
      <c r="J124" s="28" t="e">
        <f t="shared" si="7"/>
        <v>#VALUE!</v>
      </c>
    </row>
    <row r="125" spans="1:10" x14ac:dyDescent="0.15">
      <c r="A125" t="s">
        <v>211</v>
      </c>
      <c r="B125">
        <f>'C-speciation'!F127</f>
        <v>275.14999999999998</v>
      </c>
      <c r="C125" s="48" t="s">
        <v>93</v>
      </c>
      <c r="D125" s="6" t="e">
        <f>(((C125/1000000)*((0.0013))*Volumes!B122/1000)*((Volumes!B122+Volumes!C122)/Volumes!C122))</f>
        <v>#VALUE!</v>
      </c>
      <c r="E125" s="6" t="e">
        <f>(((Volumes!B122+Volumes!C122)/Volumes!C122)*(Volumes!C122/1000*(C125/1000000)))/(0.082057*308.15)</f>
        <v>#VALUE!</v>
      </c>
      <c r="F125" s="4" t="e">
        <f>(D125+E125)*(1000/Volumes!D122)*1000000</f>
        <v>#VALUE!</v>
      </c>
      <c r="G125">
        <f t="shared" si="4"/>
        <v>2.4114848528124858E-3</v>
      </c>
      <c r="H125" s="28" t="e">
        <f t="shared" si="5"/>
        <v>#VALUE!</v>
      </c>
      <c r="I125" s="25" t="e">
        <f t="shared" si="6"/>
        <v>#VALUE!</v>
      </c>
      <c r="J125" s="28" t="e">
        <f t="shared" si="7"/>
        <v>#VALUE!</v>
      </c>
    </row>
    <row r="126" spans="1:10" x14ac:dyDescent="0.15">
      <c r="A126" t="s">
        <v>212</v>
      </c>
      <c r="B126">
        <f>'C-speciation'!F128</f>
        <v>275.14999999999998</v>
      </c>
      <c r="C126" s="48" t="s">
        <v>93</v>
      </c>
      <c r="D126" s="6" t="e">
        <f>(((C126/1000000)*((0.0013))*Volumes!B123/1000)*((Volumes!B123+Volumes!C123)/Volumes!C123))</f>
        <v>#VALUE!</v>
      </c>
      <c r="E126" s="6" t="e">
        <f>(((Volumes!B123+Volumes!C123)/Volumes!C123)*(Volumes!C123/1000*(C126/1000000)))/(0.082057*308.15)</f>
        <v>#VALUE!</v>
      </c>
      <c r="F126" s="4" t="e">
        <f>(D126+E126)*(1000/Volumes!D123)*1000000</f>
        <v>#VALUE!</v>
      </c>
      <c r="G126">
        <f t="shared" si="4"/>
        <v>2.4114848528124858E-3</v>
      </c>
      <c r="H126" s="28" t="e">
        <f t="shared" si="5"/>
        <v>#VALUE!</v>
      </c>
      <c r="I126" s="25" t="e">
        <f t="shared" si="6"/>
        <v>#VALUE!</v>
      </c>
      <c r="J126" s="28" t="e">
        <f t="shared" si="7"/>
        <v>#VALUE!</v>
      </c>
    </row>
    <row r="127" spans="1:10" x14ac:dyDescent="0.15">
      <c r="A127" t="s">
        <v>213</v>
      </c>
      <c r="B127">
        <f>'C-speciation'!F129</f>
        <v>288.03625</v>
      </c>
      <c r="C127" s="48" t="s">
        <v>93</v>
      </c>
      <c r="D127" s="6" t="e">
        <f>(((C127/1000000)*((0.0013))*Volumes!B124/1000)*((Volumes!B124+Volumes!C124)/Volumes!C124))</f>
        <v>#VALUE!</v>
      </c>
      <c r="E127" s="6" t="e">
        <f>(((Volumes!B124+Volumes!C124)/Volumes!C124)*(Volumes!C124/1000*(C127/1000000)))/(0.082057*308.15)</f>
        <v>#VALUE!</v>
      </c>
      <c r="F127" s="4" t="e">
        <f>(D127+E127)*(1000/Volumes!D124)*1000000</f>
        <v>#VALUE!</v>
      </c>
      <c r="G127">
        <f t="shared" si="4"/>
        <v>1.7246067763071577E-3</v>
      </c>
      <c r="H127" s="28" t="e">
        <f t="shared" si="5"/>
        <v>#VALUE!</v>
      </c>
      <c r="I127" s="25" t="e">
        <f t="shared" si="6"/>
        <v>#VALUE!</v>
      </c>
      <c r="J127" s="28" t="e">
        <f t="shared" si="7"/>
        <v>#VALUE!</v>
      </c>
    </row>
    <row r="128" spans="1:10" x14ac:dyDescent="0.15">
      <c r="A128" t="s">
        <v>214</v>
      </c>
      <c r="B128">
        <f>'C-speciation'!F130</f>
        <v>275.14999999999998</v>
      </c>
      <c r="C128" s="48" t="s">
        <v>93</v>
      </c>
      <c r="D128" s="6" t="e">
        <f>(((C128/1000000)*((0.0013))*Volumes!B125/1000)*((Volumes!B125+Volumes!C125)/Volumes!C125))</f>
        <v>#VALUE!</v>
      </c>
      <c r="E128" s="6" t="e">
        <f>(((Volumes!B125+Volumes!C125)/Volumes!C125)*(Volumes!C125/1000*(C128/1000000)))/(0.082057*308.15)</f>
        <v>#VALUE!</v>
      </c>
      <c r="F128" s="4" t="e">
        <f>(D128+E128)*(1000/Volumes!D125)*1000000</f>
        <v>#VALUE!</v>
      </c>
      <c r="G128">
        <f t="shared" si="4"/>
        <v>2.4114848528124858E-3</v>
      </c>
      <c r="H128" s="28" t="e">
        <f t="shared" si="5"/>
        <v>#VALUE!</v>
      </c>
      <c r="I128" s="25" t="e">
        <f t="shared" si="6"/>
        <v>#VALUE!</v>
      </c>
      <c r="J128" s="28" t="e">
        <f t="shared" si="7"/>
        <v>#VALUE!</v>
      </c>
    </row>
    <row r="129" spans="1:10" x14ac:dyDescent="0.15">
      <c r="A129" t="s">
        <v>215</v>
      </c>
      <c r="B129">
        <f>'C-speciation'!F131</f>
        <v>279.36391666666663</v>
      </c>
      <c r="C129" s="48" t="s">
        <v>93</v>
      </c>
      <c r="D129" s="6" t="e">
        <f>(((C129/1000000)*((0.0013))*Volumes!B126/1000)*((Volumes!B126+Volumes!C126)/Volumes!C126))</f>
        <v>#VALUE!</v>
      </c>
      <c r="E129" s="6" t="e">
        <f>(((Volumes!B126+Volumes!C126)/Volumes!C126)*(Volumes!C126/1000*(C129/1000000)))/(0.082057*308.15)</f>
        <v>#VALUE!</v>
      </c>
      <c r="F129" s="4" t="e">
        <f>(D129+E129)*(1000/Volumes!D126)*1000000</f>
        <v>#VALUE!</v>
      </c>
      <c r="G129">
        <f t="shared" si="4"/>
        <v>2.1393886048874538E-3</v>
      </c>
      <c r="H129" s="28" t="e">
        <f t="shared" si="5"/>
        <v>#VALUE!</v>
      </c>
      <c r="I129" s="25" t="e">
        <f t="shared" si="6"/>
        <v>#VALUE!</v>
      </c>
      <c r="J129" s="28" t="e">
        <f t="shared" si="7"/>
        <v>#VALUE!</v>
      </c>
    </row>
    <row r="130" spans="1:10" x14ac:dyDescent="0.15">
      <c r="A130" t="s">
        <v>216</v>
      </c>
      <c r="B130">
        <f>'C-speciation'!F132</f>
        <v>275.14999999999998</v>
      </c>
      <c r="C130" s="48" t="s">
        <v>93</v>
      </c>
      <c r="D130" s="6" t="e">
        <f>(((C130/1000000)*((0.0013))*Volumes!B127/1000)*((Volumes!B127+Volumes!C127)/Volumes!C127))</f>
        <v>#VALUE!</v>
      </c>
      <c r="E130" s="6" t="e">
        <f>(((Volumes!B127+Volumes!C127)/Volumes!C127)*(Volumes!C127/1000*(C130/1000000)))/(0.082057*308.15)</f>
        <v>#VALUE!</v>
      </c>
      <c r="F130" s="4" t="e">
        <f>(D130+E130)*(1000/Volumes!D127)*1000000</f>
        <v>#VALUE!</v>
      </c>
      <c r="G130">
        <f t="shared" si="4"/>
        <v>2.4114848528124858E-3</v>
      </c>
      <c r="H130" s="28" t="e">
        <f t="shared" si="5"/>
        <v>#VALUE!</v>
      </c>
      <c r="I130" s="25" t="e">
        <f t="shared" si="6"/>
        <v>#VALUE!</v>
      </c>
      <c r="J130" s="28" t="e">
        <f t="shared" si="7"/>
        <v>#VALUE!</v>
      </c>
    </row>
    <row r="131" spans="1:10" x14ac:dyDescent="0.15">
      <c r="A131" t="s">
        <v>217</v>
      </c>
      <c r="B131">
        <f>'C-speciation'!F133</f>
        <v>283.91010416666666</v>
      </c>
      <c r="C131" s="48" t="s">
        <v>93</v>
      </c>
      <c r="D131" s="6" t="e">
        <f>(((C131/1000000)*((0.0013))*Volumes!B128/1000)*((Volumes!B128+Volumes!C128)/Volumes!C128))</f>
        <v>#VALUE!</v>
      </c>
      <c r="E131" s="6" t="e">
        <f>(((Volumes!B128+Volumes!C128)/Volumes!C128)*(Volumes!C128/1000*(C131/1000000)))/(0.082057*308.15)</f>
        <v>#VALUE!</v>
      </c>
      <c r="F131" s="4" t="e">
        <f>(D131+E131)*(1000/Volumes!D128)*1000000</f>
        <v>#VALUE!</v>
      </c>
      <c r="G131">
        <f t="shared" si="4"/>
        <v>1.9013294018736368E-3</v>
      </c>
      <c r="H131" s="28" t="e">
        <f t="shared" si="5"/>
        <v>#VALUE!</v>
      </c>
      <c r="I131" s="25" t="e">
        <f t="shared" si="6"/>
        <v>#VALUE!</v>
      </c>
      <c r="J131" s="28" t="e">
        <f t="shared" si="7"/>
        <v>#VALUE!</v>
      </c>
    </row>
    <row r="132" spans="1:10" x14ac:dyDescent="0.15">
      <c r="A132" t="s">
        <v>218</v>
      </c>
      <c r="B132">
        <f>'C-speciation'!F134</f>
        <v>275.14999999999998</v>
      </c>
      <c r="C132" s="48" t="s">
        <v>93</v>
      </c>
      <c r="D132" s="6" t="e">
        <f>(((C132/1000000)*((0.0013))*Volumes!B129/1000)*((Volumes!B129+Volumes!C129)/Volumes!C129))</f>
        <v>#VALUE!</v>
      </c>
      <c r="E132" s="6" t="e">
        <f>(((Volumes!B129+Volumes!C129)/Volumes!C129)*(Volumes!C129/1000*(C132/1000000)))/(0.082057*308.15)</f>
        <v>#VALUE!</v>
      </c>
      <c r="F132" s="4" t="e">
        <f>(D132+E132)*(1000/Volumes!D129)*1000000</f>
        <v>#VALUE!</v>
      </c>
      <c r="G132">
        <f t="shared" si="4"/>
        <v>2.4114848528124858E-3</v>
      </c>
      <c r="H132" s="28" t="e">
        <f t="shared" si="5"/>
        <v>#VALUE!</v>
      </c>
      <c r="I132" s="25" t="e">
        <f t="shared" si="6"/>
        <v>#VALUE!</v>
      </c>
      <c r="J132" s="28" t="e">
        <f t="shared" si="7"/>
        <v>#VALUE!</v>
      </c>
    </row>
    <row r="133" spans="1:10" x14ac:dyDescent="0.15">
      <c r="A133" t="s">
        <v>219</v>
      </c>
      <c r="B133">
        <f>'C-speciation'!F135</f>
        <v>284.3696875</v>
      </c>
      <c r="C133" s="48" t="s">
        <v>93</v>
      </c>
      <c r="D133" s="6" t="e">
        <f>(((C133/1000000)*((0.0013))*Volumes!B130/1000)*((Volumes!B130+Volumes!C130)/Volumes!C130))</f>
        <v>#VALUE!</v>
      </c>
      <c r="E133" s="6" t="e">
        <f>(((Volumes!B130+Volumes!C130)/Volumes!C130)*(Volumes!C130/1000*(C133/1000000)))/(0.082057*308.15)</f>
        <v>#VALUE!</v>
      </c>
      <c r="F133" s="4" t="e">
        <f>(D133+E133)*(1000/Volumes!D130)*1000000</f>
        <v>#VALUE!</v>
      </c>
      <c r="G133">
        <f t="shared" si="4"/>
        <v>1.8799573398069886E-3</v>
      </c>
      <c r="H133" s="28" t="e">
        <f t="shared" si="5"/>
        <v>#VALUE!</v>
      </c>
      <c r="I133" s="25" t="e">
        <f t="shared" si="6"/>
        <v>#VALUE!</v>
      </c>
      <c r="J133" s="28" t="e">
        <f t="shared" si="7"/>
        <v>#VALUE!</v>
      </c>
    </row>
    <row r="134" spans="1:10" x14ac:dyDescent="0.15">
      <c r="A134" t="s">
        <v>220</v>
      </c>
      <c r="B134">
        <f>'C-speciation'!F136</f>
        <v>275.14999999999998</v>
      </c>
      <c r="C134" s="48" t="s">
        <v>93</v>
      </c>
      <c r="D134" s="6" t="e">
        <f>(((C134/1000000)*((0.0013))*Volumes!B131/1000)*((Volumes!B131+Volumes!C131)/Volumes!C131))</f>
        <v>#VALUE!</v>
      </c>
      <c r="E134" s="6" t="e">
        <f>(((Volumes!B131+Volumes!C131)/Volumes!C131)*(Volumes!C131/1000*(C134/1000000)))/(0.082057*308.15)</f>
        <v>#VALUE!</v>
      </c>
      <c r="F134" s="4" t="e">
        <f>(D134+E134)*(1000/Volumes!D131)*1000000</f>
        <v>#VALUE!</v>
      </c>
      <c r="G134">
        <f t="shared" ref="G134:G197" si="8">EXP(-68.8862+(101.4956*(100/B134))+(28.7314*LN(B134/100)))/22.4</f>
        <v>2.4114848528124858E-3</v>
      </c>
      <c r="H134" s="28" t="e">
        <f t="shared" ref="H134:H197" si="9">F134/G134</f>
        <v>#VALUE!</v>
      </c>
      <c r="I134" s="25" t="e">
        <f t="shared" ref="I134:I197" si="10">H134/1.9</f>
        <v>#VALUE!</v>
      </c>
      <c r="J134" s="28" t="e">
        <f t="shared" ref="J134:J197" si="11">F134*12.01</f>
        <v>#VALUE!</v>
      </c>
    </row>
    <row r="135" spans="1:10" x14ac:dyDescent="0.15">
      <c r="A135" t="s">
        <v>221</v>
      </c>
      <c r="B135">
        <f>'C-speciation'!F137</f>
        <v>275.14999999999998</v>
      </c>
      <c r="C135" s="48" t="s">
        <v>93</v>
      </c>
      <c r="D135" s="6" t="e">
        <f>(((C135/1000000)*((0.0013))*Volumes!B132/1000)*((Volumes!B132+Volumes!C132)/Volumes!C132))</f>
        <v>#VALUE!</v>
      </c>
      <c r="E135" s="6" t="e">
        <f>(((Volumes!B132+Volumes!C132)/Volumes!C132)*(Volumes!C132/1000*(C135/1000000)))/(0.082057*308.15)</f>
        <v>#VALUE!</v>
      </c>
      <c r="F135" s="4" t="e">
        <f>(D135+E135)*(1000/Volumes!D132)*1000000</f>
        <v>#VALUE!</v>
      </c>
      <c r="G135">
        <f t="shared" si="8"/>
        <v>2.4114848528124858E-3</v>
      </c>
      <c r="H135" s="28" t="e">
        <f t="shared" si="9"/>
        <v>#VALUE!</v>
      </c>
      <c r="I135" s="25" t="e">
        <f t="shared" si="10"/>
        <v>#VALUE!</v>
      </c>
      <c r="J135" s="28" t="e">
        <f t="shared" si="11"/>
        <v>#VALUE!</v>
      </c>
    </row>
    <row r="136" spans="1:10" x14ac:dyDescent="0.15">
      <c r="A136" t="s">
        <v>222</v>
      </c>
      <c r="B136">
        <f>'C-speciation'!F138</f>
        <v>275.14999999999998</v>
      </c>
      <c r="C136" s="48" t="s">
        <v>93</v>
      </c>
      <c r="D136" s="6" t="e">
        <f>(((C136/1000000)*((0.0013))*Volumes!B133/1000)*((Volumes!B133+Volumes!C133)/Volumes!C133))</f>
        <v>#VALUE!</v>
      </c>
      <c r="E136" s="6" t="e">
        <f>(((Volumes!B133+Volumes!C133)/Volumes!C133)*(Volumes!C133/1000*(C136/1000000)))/(0.082057*308.15)</f>
        <v>#VALUE!</v>
      </c>
      <c r="F136" s="4" t="e">
        <f>(D136+E136)*(1000/Volumes!D133)*1000000</f>
        <v>#VALUE!</v>
      </c>
      <c r="G136">
        <f t="shared" si="8"/>
        <v>2.4114848528124858E-3</v>
      </c>
      <c r="H136" s="28" t="e">
        <f t="shared" si="9"/>
        <v>#VALUE!</v>
      </c>
      <c r="I136" s="25" t="e">
        <f t="shared" si="10"/>
        <v>#VALUE!</v>
      </c>
      <c r="J136" s="28" t="e">
        <f t="shared" si="11"/>
        <v>#VALUE!</v>
      </c>
    </row>
    <row r="137" spans="1:10" x14ac:dyDescent="0.15">
      <c r="A137" t="s">
        <v>223</v>
      </c>
      <c r="B137">
        <f>'C-speciation'!F139</f>
        <v>282.65781249999998</v>
      </c>
      <c r="C137" s="48">
        <v>0.92260958971513796</v>
      </c>
      <c r="D137" s="6">
        <f>(((C137/1000000)*((0.0013))*Volumes!B134/1000)*((Volumes!B134+Volumes!C134)/Volumes!C134))</f>
        <v>7.9519720537547732E-12</v>
      </c>
      <c r="E137" s="6">
        <f>(((Volumes!B134+Volumes!C134)/Volumes!C134)*(Volumes!C134/1000*(C137/1000000)))/(0.082057*308.15)</f>
        <v>8.0636641442044555E-10</v>
      </c>
      <c r="F137" s="4">
        <f>(D137+E137)*(1000/Volumes!D134)*1000000</f>
        <v>0.16286367729484005</v>
      </c>
      <c r="G137">
        <f t="shared" si="8"/>
        <v>1.9619252504745853E-3</v>
      </c>
      <c r="H137" s="28">
        <f t="shared" si="9"/>
        <v>83.012172484881219</v>
      </c>
      <c r="I137" s="25">
        <f t="shared" si="10"/>
        <v>43.690617097305903</v>
      </c>
      <c r="J137" s="28">
        <f t="shared" si="11"/>
        <v>1.9559927643110291</v>
      </c>
    </row>
    <row r="138" spans="1:10" x14ac:dyDescent="0.15">
      <c r="A138" t="s">
        <v>224</v>
      </c>
      <c r="B138">
        <f>'C-speciation'!F140</f>
        <v>275.14999999999998</v>
      </c>
      <c r="C138" s="48" t="s">
        <v>93</v>
      </c>
      <c r="D138" s="6" t="e">
        <f>(((C138/1000000)*((0.0013))*Volumes!B135/1000)*((Volumes!B135+Volumes!C135)/Volumes!C135))</f>
        <v>#VALUE!</v>
      </c>
      <c r="E138" s="6" t="e">
        <f>(((Volumes!B135+Volumes!C135)/Volumes!C135)*(Volumes!C135/1000*(C138/1000000)))/(0.082057*308.15)</f>
        <v>#VALUE!</v>
      </c>
      <c r="F138" s="4" t="e">
        <f>(D138+E138)*(1000/Volumes!D135)*1000000</f>
        <v>#VALUE!</v>
      </c>
      <c r="G138">
        <f t="shared" si="8"/>
        <v>2.4114848528124858E-3</v>
      </c>
      <c r="H138" s="28" t="e">
        <f t="shared" si="9"/>
        <v>#VALUE!</v>
      </c>
      <c r="I138" s="25" t="e">
        <f t="shared" si="10"/>
        <v>#VALUE!</v>
      </c>
      <c r="J138" s="28" t="e">
        <f t="shared" si="11"/>
        <v>#VALUE!</v>
      </c>
    </row>
    <row r="139" spans="1:10" x14ac:dyDescent="0.15">
      <c r="A139" t="s">
        <v>225</v>
      </c>
      <c r="B139">
        <f>'C-speciation'!F141</f>
        <v>276.49512499999997</v>
      </c>
      <c r="C139" s="48" t="s">
        <v>93</v>
      </c>
      <c r="D139" s="6" t="e">
        <f>(((C139/1000000)*((0.0013))*Volumes!B136/1000)*((Volumes!B136+Volumes!C136)/Volumes!C136))</f>
        <v>#VALUE!</v>
      </c>
      <c r="E139" s="6" t="e">
        <f>(((Volumes!B136+Volumes!C136)/Volumes!C136)*(Volumes!C136/1000*(C139/1000000)))/(0.082057*308.15)</f>
        <v>#VALUE!</v>
      </c>
      <c r="F139" s="4" t="e">
        <f>(D139+E139)*(1000/Volumes!D136)*1000000</f>
        <v>#VALUE!</v>
      </c>
      <c r="G139">
        <f t="shared" si="8"/>
        <v>2.318465836493411E-3</v>
      </c>
      <c r="H139" s="28" t="e">
        <f t="shared" si="9"/>
        <v>#VALUE!</v>
      </c>
      <c r="I139" s="25" t="e">
        <f t="shared" si="10"/>
        <v>#VALUE!</v>
      </c>
      <c r="J139" s="28" t="e">
        <f t="shared" si="11"/>
        <v>#VALUE!</v>
      </c>
    </row>
    <row r="140" spans="1:10" x14ac:dyDescent="0.15">
      <c r="A140" t="s">
        <v>226</v>
      </c>
      <c r="B140">
        <f>'C-speciation'!F142</f>
        <v>275.14999999999998</v>
      </c>
      <c r="C140" s="48" t="s">
        <v>93</v>
      </c>
      <c r="D140" s="6" t="e">
        <f>(((C140/1000000)*((0.0013))*Volumes!B137/1000)*((Volumes!B137+Volumes!C137)/Volumes!C137))</f>
        <v>#VALUE!</v>
      </c>
      <c r="E140" s="6" t="e">
        <f>(((Volumes!B137+Volumes!C137)/Volumes!C137)*(Volumes!C137/1000*(C140/1000000)))/(0.082057*308.15)</f>
        <v>#VALUE!</v>
      </c>
      <c r="F140" s="4" t="e">
        <f>(D140+E140)*(1000/Volumes!D137)*1000000</f>
        <v>#VALUE!</v>
      </c>
      <c r="G140">
        <f t="shared" si="8"/>
        <v>2.4114848528124858E-3</v>
      </c>
      <c r="H140" s="28" t="e">
        <f t="shared" si="9"/>
        <v>#VALUE!</v>
      </c>
      <c r="I140" s="25" t="e">
        <f t="shared" si="10"/>
        <v>#VALUE!</v>
      </c>
      <c r="J140" s="28" t="e">
        <f t="shared" si="11"/>
        <v>#VALUE!</v>
      </c>
    </row>
    <row r="141" spans="1:10" x14ac:dyDescent="0.15">
      <c r="A141" t="s">
        <v>227</v>
      </c>
      <c r="B141">
        <f>'C-speciation'!F143</f>
        <v>280.53905208333333</v>
      </c>
      <c r="C141" s="48" t="s">
        <v>93</v>
      </c>
      <c r="D141" s="6" t="e">
        <f>(((C141/1000000)*((0.0013))*Volumes!B138/1000)*((Volumes!B138+Volumes!C138)/Volumes!C138))</f>
        <v>#VALUE!</v>
      </c>
      <c r="E141" s="6" t="e">
        <f>(((Volumes!B138+Volumes!C138)/Volumes!C138)*(Volumes!C138/1000*(C141/1000000)))/(0.082057*308.15)</f>
        <v>#VALUE!</v>
      </c>
      <c r="F141" s="4" t="e">
        <f>(D141+E141)*(1000/Volumes!D138)*1000000</f>
        <v>#VALUE!</v>
      </c>
      <c r="G141">
        <f t="shared" si="8"/>
        <v>2.0728810496650099E-3</v>
      </c>
      <c r="H141" s="28" t="e">
        <f t="shared" si="9"/>
        <v>#VALUE!</v>
      </c>
      <c r="I141" s="25" t="e">
        <f t="shared" si="10"/>
        <v>#VALUE!</v>
      </c>
      <c r="J141" s="28" t="e">
        <f t="shared" si="11"/>
        <v>#VALUE!</v>
      </c>
    </row>
    <row r="142" spans="1:10" x14ac:dyDescent="0.15">
      <c r="A142" t="s">
        <v>228</v>
      </c>
      <c r="B142">
        <f>'C-speciation'!F144</f>
        <v>275.14999999999998</v>
      </c>
      <c r="C142" s="48" t="s">
        <v>93</v>
      </c>
      <c r="D142" s="6" t="e">
        <f>(((C142/1000000)*((0.0013))*Volumes!B139/1000)*((Volumes!B139+Volumes!C139)/Volumes!C139))</f>
        <v>#VALUE!</v>
      </c>
      <c r="E142" s="6" t="e">
        <f>(((Volumes!B139+Volumes!C139)/Volumes!C139)*(Volumes!C139/1000*(C142/1000000)))/(0.082057*308.15)</f>
        <v>#VALUE!</v>
      </c>
      <c r="F142" s="4" t="e">
        <f>(D142+E142)*(1000/Volumes!D139)*1000000</f>
        <v>#VALUE!</v>
      </c>
      <c r="G142">
        <f t="shared" si="8"/>
        <v>2.4114848528124858E-3</v>
      </c>
      <c r="H142" s="28" t="e">
        <f t="shared" si="9"/>
        <v>#VALUE!</v>
      </c>
      <c r="I142" s="25" t="e">
        <f t="shared" si="10"/>
        <v>#VALUE!</v>
      </c>
      <c r="J142" s="28" t="e">
        <f t="shared" si="11"/>
        <v>#VALUE!</v>
      </c>
    </row>
    <row r="143" spans="1:10" x14ac:dyDescent="0.15">
      <c r="A143" t="s">
        <v>229</v>
      </c>
      <c r="B143">
        <f>'C-speciation'!F145</f>
        <v>281.84481249999999</v>
      </c>
      <c r="C143" s="48" t="s">
        <v>93</v>
      </c>
      <c r="D143" s="6" t="e">
        <f>(((C143/1000000)*((0.0013))*Volumes!B140/1000)*((Volumes!B140+Volumes!C140)/Volumes!C140))</f>
        <v>#VALUE!</v>
      </c>
      <c r="E143" s="6" t="e">
        <f>(((Volumes!B140+Volumes!C140)/Volumes!C140)*(Volumes!C140/1000*(C143/1000000)))/(0.082057*308.15)</f>
        <v>#VALUE!</v>
      </c>
      <c r="F143" s="4" t="e">
        <f>(D143+E143)*(1000/Volumes!D140)*1000000</f>
        <v>#VALUE!</v>
      </c>
      <c r="G143">
        <f t="shared" si="8"/>
        <v>2.0031996985292477E-3</v>
      </c>
      <c r="H143" s="28" t="e">
        <f t="shared" si="9"/>
        <v>#VALUE!</v>
      </c>
      <c r="I143" s="25" t="e">
        <f t="shared" si="10"/>
        <v>#VALUE!</v>
      </c>
      <c r="J143" s="28" t="e">
        <f t="shared" si="11"/>
        <v>#VALUE!</v>
      </c>
    </row>
    <row r="144" spans="1:10" x14ac:dyDescent="0.15">
      <c r="A144" t="s">
        <v>230</v>
      </c>
      <c r="B144">
        <f>'C-speciation'!F146</f>
        <v>275.14999999999998</v>
      </c>
      <c r="C144" s="48" t="s">
        <v>93</v>
      </c>
      <c r="D144" s="6" t="e">
        <f>(((C144/1000000)*((0.0013))*Volumes!B141/1000)*((Volumes!B141+Volumes!C141)/Volumes!C141))</f>
        <v>#VALUE!</v>
      </c>
      <c r="E144" s="6" t="e">
        <f>(((Volumes!B141+Volumes!C141)/Volumes!C141)*(Volumes!C141/1000*(C144/1000000)))/(0.082057*308.15)</f>
        <v>#VALUE!</v>
      </c>
      <c r="F144" s="4" t="e">
        <f>(D144+E144)*(1000/Volumes!D141)*1000000</f>
        <v>#VALUE!</v>
      </c>
      <c r="G144">
        <f t="shared" si="8"/>
        <v>2.4114848528124858E-3</v>
      </c>
      <c r="H144" s="28" t="e">
        <f t="shared" si="9"/>
        <v>#VALUE!</v>
      </c>
      <c r="I144" s="25" t="e">
        <f t="shared" si="10"/>
        <v>#VALUE!</v>
      </c>
      <c r="J144" s="28" t="e">
        <f t="shared" si="11"/>
        <v>#VALUE!</v>
      </c>
    </row>
    <row r="145" spans="1:10" x14ac:dyDescent="0.15">
      <c r="A145" t="s">
        <v>231</v>
      </c>
      <c r="B145">
        <f>'C-speciation'!F147</f>
        <v>275.14999999999998</v>
      </c>
      <c r="C145" s="48" t="s">
        <v>93</v>
      </c>
      <c r="D145" s="6" t="e">
        <f>(((C145/1000000)*((0.0013))*Volumes!B142/1000)*((Volumes!B142+Volumes!C142)/Volumes!C142))</f>
        <v>#VALUE!</v>
      </c>
      <c r="E145" s="6" t="e">
        <f>(((Volumes!B142+Volumes!C142)/Volumes!C142)*(Volumes!C142/1000*(C145/1000000)))/(0.082057*308.15)</f>
        <v>#VALUE!</v>
      </c>
      <c r="F145" s="4" t="e">
        <f>(D145+E145)*(1000/Volumes!D142)*1000000</f>
        <v>#VALUE!</v>
      </c>
      <c r="G145">
        <f t="shared" si="8"/>
        <v>2.4114848528124858E-3</v>
      </c>
      <c r="H145" s="28" t="e">
        <f t="shared" si="9"/>
        <v>#VALUE!</v>
      </c>
      <c r="I145" s="25" t="e">
        <f t="shared" si="10"/>
        <v>#VALUE!</v>
      </c>
      <c r="J145" s="28" t="e">
        <f t="shared" si="11"/>
        <v>#VALUE!</v>
      </c>
    </row>
    <row r="146" spans="1:10" x14ac:dyDescent="0.15">
      <c r="A146" t="s">
        <v>232</v>
      </c>
      <c r="B146">
        <f>'C-speciation'!F148</f>
        <v>275.14999999999998</v>
      </c>
      <c r="C146" s="48" t="s">
        <v>93</v>
      </c>
      <c r="D146" s="6" t="e">
        <f>(((C146/1000000)*((0.0013))*Volumes!B143/1000)*((Volumes!B143+Volumes!C143)/Volumes!C143))</f>
        <v>#VALUE!</v>
      </c>
      <c r="E146" s="6" t="e">
        <f>(((Volumes!B143+Volumes!C143)/Volumes!C143)*(Volumes!C143/1000*(C146/1000000)))/(0.082057*308.15)</f>
        <v>#VALUE!</v>
      </c>
      <c r="F146" s="4" t="e">
        <f>(D146+E146)*(1000/Volumes!D143)*1000000</f>
        <v>#VALUE!</v>
      </c>
      <c r="G146">
        <f t="shared" si="8"/>
        <v>2.4114848528124858E-3</v>
      </c>
      <c r="H146" s="28" t="e">
        <f t="shared" si="9"/>
        <v>#VALUE!</v>
      </c>
      <c r="I146" s="25" t="e">
        <f t="shared" si="10"/>
        <v>#VALUE!</v>
      </c>
      <c r="J146" s="28" t="e">
        <f t="shared" si="11"/>
        <v>#VALUE!</v>
      </c>
    </row>
    <row r="147" spans="1:10" x14ac:dyDescent="0.15">
      <c r="A147" t="s">
        <v>233</v>
      </c>
      <c r="B147">
        <f>'C-speciation'!F149</f>
        <v>290.57291666666669</v>
      </c>
      <c r="C147" s="48">
        <v>1.32477060038053</v>
      </c>
      <c r="D147" s="6">
        <f>(((C147/1000000)*((0.0013))*Volumes!B144/1000)*((Volumes!B144+Volumes!C144)/Volumes!C144))</f>
        <v>1.1418197804679785E-11</v>
      </c>
      <c r="E147" s="6">
        <f>(((Volumes!B144+Volumes!C144)/Volumes!C144)*(Volumes!C144/1000*(C147/1000000)))/(0.082057*308.15)</f>
        <v>1.1578575931432694E-9</v>
      </c>
      <c r="F147" s="4">
        <f>(D147+E147)*(1000/Volumes!D144)*1000000</f>
        <v>0.23385515818958985</v>
      </c>
      <c r="G147">
        <f t="shared" si="8"/>
        <v>1.6311844206044529E-3</v>
      </c>
      <c r="H147" s="28">
        <f t="shared" si="9"/>
        <v>143.36524750704297</v>
      </c>
      <c r="I147" s="25">
        <f t="shared" si="10"/>
        <v>75.455393424759464</v>
      </c>
      <c r="J147" s="28">
        <f t="shared" si="11"/>
        <v>2.8086004498569741</v>
      </c>
    </row>
    <row r="148" spans="1:10" x14ac:dyDescent="0.15">
      <c r="A148" t="s">
        <v>234</v>
      </c>
      <c r="B148">
        <f>'C-speciation'!F150</f>
        <v>275.14999999999998</v>
      </c>
      <c r="C148" s="48" t="s">
        <v>93</v>
      </c>
      <c r="D148" s="6" t="e">
        <f>(((C148/1000000)*((0.0013))*Volumes!B145/1000)*((Volumes!B145+Volumes!C145)/Volumes!C145))</f>
        <v>#VALUE!</v>
      </c>
      <c r="E148" s="6" t="e">
        <f>(((Volumes!B145+Volumes!C145)/Volumes!C145)*(Volumes!C145/1000*(C148/1000000)))/(0.082057*308.15)</f>
        <v>#VALUE!</v>
      </c>
      <c r="F148" s="4" t="e">
        <f>(D148+E148)*(1000/Volumes!D145)*1000000</f>
        <v>#VALUE!</v>
      </c>
      <c r="G148">
        <f t="shared" si="8"/>
        <v>2.4114848528124858E-3</v>
      </c>
      <c r="H148" s="28" t="e">
        <f t="shared" si="9"/>
        <v>#VALUE!</v>
      </c>
      <c r="I148" s="25" t="e">
        <f t="shared" si="10"/>
        <v>#VALUE!</v>
      </c>
      <c r="J148" s="28" t="e">
        <f t="shared" si="11"/>
        <v>#VALUE!</v>
      </c>
    </row>
    <row r="149" spans="1:10" x14ac:dyDescent="0.15">
      <c r="A149" t="s">
        <v>235</v>
      </c>
      <c r="B149">
        <f>'C-speciation'!F151</f>
        <v>286.77979166666665</v>
      </c>
      <c r="C149" s="48" t="s">
        <v>93</v>
      </c>
      <c r="D149" s="6" t="e">
        <f>(((C149/1000000)*((0.0013))*Volumes!B146/1000)*((Volumes!B146+Volumes!C146)/Volumes!C146))</f>
        <v>#VALUE!</v>
      </c>
      <c r="E149" s="6" t="e">
        <f>(((Volumes!B146+Volumes!C146)/Volumes!C146)*(Volumes!C146/1000*(C149/1000000)))/(0.082057*308.15)</f>
        <v>#VALUE!</v>
      </c>
      <c r="F149" s="4" t="e">
        <f>(D149+E149)*(1000/Volumes!D146)*1000000</f>
        <v>#VALUE!</v>
      </c>
      <c r="G149">
        <f t="shared" si="8"/>
        <v>1.77495875700835E-3</v>
      </c>
      <c r="H149" s="28" t="e">
        <f t="shared" si="9"/>
        <v>#VALUE!</v>
      </c>
      <c r="I149" s="25" t="e">
        <f t="shared" si="10"/>
        <v>#VALUE!</v>
      </c>
      <c r="J149" s="28" t="e">
        <f t="shared" si="11"/>
        <v>#VALUE!</v>
      </c>
    </row>
    <row r="150" spans="1:10" x14ac:dyDescent="0.15">
      <c r="A150" t="s">
        <v>236</v>
      </c>
      <c r="B150">
        <f>'C-speciation'!F152</f>
        <v>275.14999999999998</v>
      </c>
      <c r="C150" s="48" t="s">
        <v>93</v>
      </c>
      <c r="D150" s="6" t="e">
        <f>(((C150/1000000)*((0.0013))*Volumes!B147/1000)*((Volumes!B147+Volumes!C147)/Volumes!C147))</f>
        <v>#VALUE!</v>
      </c>
      <c r="E150" s="6" t="e">
        <f>(((Volumes!B147+Volumes!C147)/Volumes!C147)*(Volumes!C147/1000*(C150/1000000)))/(0.082057*308.15)</f>
        <v>#VALUE!</v>
      </c>
      <c r="F150" s="4" t="e">
        <f>(D150+E150)*(1000/Volumes!D147)*1000000</f>
        <v>#VALUE!</v>
      </c>
      <c r="G150">
        <f t="shared" si="8"/>
        <v>2.4114848528124858E-3</v>
      </c>
      <c r="H150" s="28" t="e">
        <f t="shared" si="9"/>
        <v>#VALUE!</v>
      </c>
      <c r="I150" s="25" t="e">
        <f t="shared" si="10"/>
        <v>#VALUE!</v>
      </c>
      <c r="J150" s="28" t="e">
        <f t="shared" si="11"/>
        <v>#VALUE!</v>
      </c>
    </row>
    <row r="151" spans="1:10" x14ac:dyDescent="0.15">
      <c r="A151" t="s">
        <v>237</v>
      </c>
      <c r="B151">
        <f>'C-speciation'!F153</f>
        <v>275.14999999999998</v>
      </c>
      <c r="C151" s="48" t="s">
        <v>93</v>
      </c>
      <c r="D151" s="6" t="e">
        <f>(((C151/1000000)*((0.0013))*Volumes!B148/1000)*((Volumes!B148+Volumes!C148)/Volumes!C148))</f>
        <v>#VALUE!</v>
      </c>
      <c r="E151" s="6" t="e">
        <f>(((Volumes!B148+Volumes!C148)/Volumes!C148)*(Volumes!C148/1000*(C151/1000000)))/(0.082057*308.15)</f>
        <v>#VALUE!</v>
      </c>
      <c r="F151" s="4" t="e">
        <f>(D151+E151)*(1000/Volumes!D148)*1000000</f>
        <v>#VALUE!</v>
      </c>
      <c r="G151">
        <f t="shared" si="8"/>
        <v>2.4114848528124858E-3</v>
      </c>
      <c r="H151" s="28" t="e">
        <f t="shared" si="9"/>
        <v>#VALUE!</v>
      </c>
      <c r="I151" s="25" t="e">
        <f t="shared" si="10"/>
        <v>#VALUE!</v>
      </c>
      <c r="J151" s="28" t="e">
        <f t="shared" si="11"/>
        <v>#VALUE!</v>
      </c>
    </row>
    <row r="152" spans="1:10" x14ac:dyDescent="0.15">
      <c r="A152" t="s">
        <v>238</v>
      </c>
      <c r="B152">
        <f>'C-speciation'!F154</f>
        <v>275.14999999999998</v>
      </c>
      <c r="C152" s="48" t="s">
        <v>93</v>
      </c>
      <c r="D152" s="6" t="e">
        <f>(((C152/1000000)*((0.0013))*Volumes!B149/1000)*((Volumes!B149+Volumes!C149)/Volumes!C149))</f>
        <v>#VALUE!</v>
      </c>
      <c r="E152" s="6" t="e">
        <f>(((Volumes!B149+Volumes!C149)/Volumes!C149)*(Volumes!C149/1000*(C152/1000000)))/(0.082057*308.15)</f>
        <v>#VALUE!</v>
      </c>
      <c r="F152" s="4" t="e">
        <f>(D152+E152)*(1000/Volumes!D149)*1000000</f>
        <v>#VALUE!</v>
      </c>
      <c r="G152">
        <f t="shared" si="8"/>
        <v>2.4114848528124858E-3</v>
      </c>
      <c r="H152" s="28" t="e">
        <f t="shared" si="9"/>
        <v>#VALUE!</v>
      </c>
      <c r="I152" s="25" t="e">
        <f t="shared" si="10"/>
        <v>#VALUE!</v>
      </c>
      <c r="J152" s="28" t="e">
        <f t="shared" si="11"/>
        <v>#VALUE!</v>
      </c>
    </row>
    <row r="153" spans="1:10" x14ac:dyDescent="0.15">
      <c r="A153" t="s">
        <v>239</v>
      </c>
      <c r="B153">
        <f>'C-speciation'!F155</f>
        <v>286.3803125</v>
      </c>
      <c r="C153" s="48" t="s">
        <v>93</v>
      </c>
      <c r="D153" s="6" t="e">
        <f>(((C153/1000000)*((0.0013))*Volumes!B150/1000)*((Volumes!B150+Volumes!C150)/Volumes!C150))</f>
        <v>#VALUE!</v>
      </c>
      <c r="E153" s="6" t="e">
        <f>(((Volumes!B150+Volumes!C150)/Volumes!C150)*(Volumes!C150/1000*(C153/1000000)))/(0.082057*308.15)</f>
        <v>#VALUE!</v>
      </c>
      <c r="F153" s="4" t="e">
        <f>(D153+E153)*(1000/Volumes!D150)*1000000</f>
        <v>#VALUE!</v>
      </c>
      <c r="G153">
        <f t="shared" si="8"/>
        <v>1.7915755401175847E-3</v>
      </c>
      <c r="H153" s="28" t="e">
        <f t="shared" si="9"/>
        <v>#VALUE!</v>
      </c>
      <c r="I153" s="25" t="e">
        <f t="shared" si="10"/>
        <v>#VALUE!</v>
      </c>
      <c r="J153" s="28" t="e">
        <f t="shared" si="11"/>
        <v>#VALUE!</v>
      </c>
    </row>
    <row r="154" spans="1:10" x14ac:dyDescent="0.15">
      <c r="A154" t="s">
        <v>240</v>
      </c>
      <c r="B154">
        <f>'C-speciation'!F156</f>
        <v>275.14999999999998</v>
      </c>
      <c r="C154" s="48" t="s">
        <v>93</v>
      </c>
      <c r="D154" s="6" t="e">
        <f>(((C154/1000000)*((0.0013))*Volumes!B151/1000)*((Volumes!B151+Volumes!C151)/Volumes!C151))</f>
        <v>#VALUE!</v>
      </c>
      <c r="E154" s="6" t="e">
        <f>(((Volumes!B151+Volumes!C151)/Volumes!C151)*(Volumes!C151/1000*(C154/1000000)))/(0.082057*308.15)</f>
        <v>#VALUE!</v>
      </c>
      <c r="F154" s="4" t="e">
        <f>(D154+E154)*(1000/Volumes!D151)*1000000</f>
        <v>#VALUE!</v>
      </c>
      <c r="G154">
        <f t="shared" si="8"/>
        <v>2.4114848528124858E-3</v>
      </c>
      <c r="H154" s="28" t="e">
        <f t="shared" si="9"/>
        <v>#VALUE!</v>
      </c>
      <c r="I154" s="25" t="e">
        <f t="shared" si="10"/>
        <v>#VALUE!</v>
      </c>
      <c r="J154" s="28" t="e">
        <f t="shared" si="11"/>
        <v>#VALUE!</v>
      </c>
    </row>
    <row r="155" spans="1:10" x14ac:dyDescent="0.15">
      <c r="A155" t="s">
        <v>241</v>
      </c>
      <c r="B155">
        <f>'C-speciation'!F157</f>
        <v>275.14999999999998</v>
      </c>
      <c r="C155" s="48" t="s">
        <v>93</v>
      </c>
      <c r="D155" s="6" t="e">
        <f>(((C155/1000000)*((0.0013))*Volumes!B152/1000)*((Volumes!B152+Volumes!C152)/Volumes!C152))</f>
        <v>#VALUE!</v>
      </c>
      <c r="E155" s="6" t="e">
        <f>(((Volumes!B152+Volumes!C152)/Volumes!C152)*(Volumes!C152/1000*(C155/1000000)))/(0.082057*308.15)</f>
        <v>#VALUE!</v>
      </c>
      <c r="F155" s="4" t="e">
        <f>(D155+E155)*(1000/Volumes!D152)*1000000</f>
        <v>#VALUE!</v>
      </c>
      <c r="G155">
        <f t="shared" si="8"/>
        <v>2.4114848528124858E-3</v>
      </c>
      <c r="H155" s="28" t="e">
        <f t="shared" si="9"/>
        <v>#VALUE!</v>
      </c>
      <c r="I155" s="25" t="e">
        <f t="shared" si="10"/>
        <v>#VALUE!</v>
      </c>
      <c r="J155" s="28" t="e">
        <f t="shared" si="11"/>
        <v>#VALUE!</v>
      </c>
    </row>
    <row r="156" spans="1:10" x14ac:dyDescent="0.15">
      <c r="A156" t="s">
        <v>242</v>
      </c>
      <c r="B156">
        <f>'C-speciation'!F158</f>
        <v>280.78694791666663</v>
      </c>
      <c r="C156" s="48" t="s">
        <v>93</v>
      </c>
      <c r="D156" s="6" t="e">
        <f>(((C156/1000000)*((0.0013))*Volumes!B153/1000)*((Volumes!B153+Volumes!C153)/Volumes!C153))</f>
        <v>#VALUE!</v>
      </c>
      <c r="E156" s="6" t="e">
        <f>(((Volumes!B153+Volumes!C153)/Volumes!C153)*(Volumes!C153/1000*(C156/1000000)))/(0.082057*308.15)</f>
        <v>#VALUE!</v>
      </c>
      <c r="F156" s="4" t="e">
        <f>(D156+E156)*(1000/Volumes!D153)*1000000</f>
        <v>#VALUE!</v>
      </c>
      <c r="G156">
        <f t="shared" si="8"/>
        <v>2.0593196389409574E-3</v>
      </c>
      <c r="H156" s="28" t="e">
        <f t="shared" si="9"/>
        <v>#VALUE!</v>
      </c>
      <c r="I156" s="25" t="e">
        <f t="shared" si="10"/>
        <v>#VALUE!</v>
      </c>
      <c r="J156" s="28" t="e">
        <f t="shared" si="11"/>
        <v>#VALUE!</v>
      </c>
    </row>
    <row r="157" spans="1:10" x14ac:dyDescent="0.15">
      <c r="A157" t="s">
        <v>243</v>
      </c>
      <c r="B157">
        <f>'C-speciation'!F159</f>
        <v>275.14999999999998</v>
      </c>
      <c r="C157" s="48" t="s">
        <v>93</v>
      </c>
      <c r="D157" s="6" t="e">
        <f>(((C157/1000000)*((0.0013))*Volumes!B154/1000)*((Volumes!B154+Volumes!C154)/Volumes!C154))</f>
        <v>#VALUE!</v>
      </c>
      <c r="E157" s="6" t="e">
        <f>(((Volumes!B154+Volumes!C154)/Volumes!C154)*(Volumes!C154/1000*(C157/1000000)))/(0.082057*308.15)</f>
        <v>#VALUE!</v>
      </c>
      <c r="F157" s="4" t="e">
        <f>(D157+E157)*(1000/Volumes!D154)*1000000</f>
        <v>#VALUE!</v>
      </c>
      <c r="G157">
        <f t="shared" si="8"/>
        <v>2.4114848528124858E-3</v>
      </c>
      <c r="H157" s="28" t="e">
        <f t="shared" si="9"/>
        <v>#VALUE!</v>
      </c>
      <c r="I157" s="25" t="e">
        <f t="shared" si="10"/>
        <v>#VALUE!</v>
      </c>
      <c r="J157" s="28" t="e">
        <f t="shared" si="11"/>
        <v>#VALUE!</v>
      </c>
    </row>
    <row r="158" spans="1:10" x14ac:dyDescent="0.15">
      <c r="A158" t="s">
        <v>244</v>
      </c>
      <c r="B158">
        <f>'C-speciation'!F160</f>
        <v>275.14999999999998</v>
      </c>
      <c r="C158" s="48">
        <v>0.49107286661982003</v>
      </c>
      <c r="D158" s="6">
        <f>(((C158/1000000)*((0.0013))*Volumes!B155/1000)*((Volumes!B155+Volumes!C155)/Volumes!C155))</f>
        <v>4.2325570373962294E-12</v>
      </c>
      <c r="E158" s="6">
        <f>(((Volumes!B155+Volumes!C155)/Volumes!C155)*(Volumes!C155/1000*(C158/1000000)))/(0.082057*308.15)</f>
        <v>4.2920068367992674E-10</v>
      </c>
      <c r="F158" s="4">
        <f>(D158+E158)*(1000/Volumes!D155)*1000000</f>
        <v>8.6686648143464579E-2</v>
      </c>
      <c r="G158">
        <f t="shared" si="8"/>
        <v>2.4114848528124858E-3</v>
      </c>
      <c r="H158" s="28">
        <f t="shared" si="9"/>
        <v>35.94741556944178</v>
      </c>
      <c r="I158" s="25">
        <f t="shared" si="10"/>
        <v>18.919692404969361</v>
      </c>
      <c r="J158" s="28">
        <f t="shared" si="11"/>
        <v>1.0411066442030095</v>
      </c>
    </row>
    <row r="159" spans="1:10" x14ac:dyDescent="0.15">
      <c r="A159" t="s">
        <v>245</v>
      </c>
      <c r="B159">
        <f>'C-speciation'!F161</f>
        <v>281.68622916666664</v>
      </c>
      <c r="C159" s="48" t="s">
        <v>93</v>
      </c>
      <c r="D159" s="6" t="e">
        <f>(((C159/1000000)*((0.0013))*Volumes!B156/1000)*((Volumes!B156+Volumes!C156)/Volumes!C156))</f>
        <v>#VALUE!</v>
      </c>
      <c r="E159" s="6" t="e">
        <f>(((Volumes!B156+Volumes!C156)/Volumes!C156)*(Volumes!C156/1000*(C159/1000000)))/(0.082057*308.15)</f>
        <v>#VALUE!</v>
      </c>
      <c r="F159" s="4" t="e">
        <f>(D159+E159)*(1000/Volumes!D156)*1000000</f>
        <v>#VALUE!</v>
      </c>
      <c r="G159">
        <f t="shared" si="8"/>
        <v>2.0114355176438685E-3</v>
      </c>
      <c r="H159" s="28" t="e">
        <f t="shared" si="9"/>
        <v>#VALUE!</v>
      </c>
      <c r="I159" s="25" t="e">
        <f t="shared" si="10"/>
        <v>#VALUE!</v>
      </c>
      <c r="J159" s="28" t="e">
        <f t="shared" si="11"/>
        <v>#VALUE!</v>
      </c>
    </row>
    <row r="160" spans="1:10" x14ac:dyDescent="0.15">
      <c r="A160" t="s">
        <v>246</v>
      </c>
      <c r="B160">
        <f>'C-speciation'!F162</f>
        <v>275.14999999999998</v>
      </c>
      <c r="C160" s="48" t="s">
        <v>93</v>
      </c>
      <c r="D160" s="6" t="e">
        <f>(((C160/1000000)*((0.0013))*Volumes!B157/1000)*((Volumes!B157+Volumes!C157)/Volumes!C157))</f>
        <v>#VALUE!</v>
      </c>
      <c r="E160" s="6" t="e">
        <f>(((Volumes!B157+Volumes!C157)/Volumes!C157)*(Volumes!C157/1000*(C160/1000000)))/(0.082057*308.15)</f>
        <v>#VALUE!</v>
      </c>
      <c r="F160" s="4" t="e">
        <f>(D160+E160)*(1000/Volumes!D157)*1000000</f>
        <v>#VALUE!</v>
      </c>
      <c r="G160">
        <f t="shared" si="8"/>
        <v>2.4114848528124858E-3</v>
      </c>
      <c r="H160" s="28" t="e">
        <f t="shared" si="9"/>
        <v>#VALUE!</v>
      </c>
      <c r="I160" s="25" t="e">
        <f t="shared" si="10"/>
        <v>#VALUE!</v>
      </c>
      <c r="J160" s="28" t="e">
        <f t="shared" si="11"/>
        <v>#VALUE!</v>
      </c>
    </row>
    <row r="161" spans="1:10" x14ac:dyDescent="0.15">
      <c r="A161" t="s">
        <v>247</v>
      </c>
      <c r="B161">
        <f>'C-speciation'!F163</f>
        <v>280.34574999999995</v>
      </c>
      <c r="C161" s="48" t="s">
        <v>93</v>
      </c>
      <c r="D161" s="6" t="e">
        <f>(((C161/1000000)*((0.0013))*Volumes!B158/1000)*((Volumes!B158+Volumes!C158)/Volumes!C158))</f>
        <v>#VALUE!</v>
      </c>
      <c r="E161" s="6" t="e">
        <f>(((Volumes!B158+Volumes!C158)/Volumes!C158)*(Volumes!C158/1000*(C161/1000000)))/(0.082057*308.15)</f>
        <v>#VALUE!</v>
      </c>
      <c r="F161" s="4" t="e">
        <f>(D161+E161)*(1000/Volumes!D158)*1000000</f>
        <v>#VALUE!</v>
      </c>
      <c r="G161">
        <f t="shared" si="8"/>
        <v>2.0835670289238105E-3</v>
      </c>
      <c r="H161" s="28" t="e">
        <f t="shared" si="9"/>
        <v>#VALUE!</v>
      </c>
      <c r="I161" s="25" t="e">
        <f t="shared" si="10"/>
        <v>#VALUE!</v>
      </c>
      <c r="J161" s="28" t="e">
        <f t="shared" si="11"/>
        <v>#VALUE!</v>
      </c>
    </row>
    <row r="162" spans="1:10" x14ac:dyDescent="0.15">
      <c r="A162" t="s">
        <v>248</v>
      </c>
      <c r="B162">
        <f>'C-speciation'!F164</f>
        <v>275.14999999999998</v>
      </c>
      <c r="C162" s="48" t="s">
        <v>93</v>
      </c>
      <c r="D162" s="6" t="e">
        <f>(((C162/1000000)*((0.0013))*Volumes!B159/1000)*((Volumes!B159+Volumes!C159)/Volumes!C159))</f>
        <v>#VALUE!</v>
      </c>
      <c r="E162" s="6" t="e">
        <f>(((Volumes!B159+Volumes!C159)/Volumes!C159)*(Volumes!C159/1000*(C162/1000000)))/(0.082057*308.15)</f>
        <v>#VALUE!</v>
      </c>
      <c r="F162" s="4" t="e">
        <f>(D162+E162)*(1000/Volumes!D159)*1000000</f>
        <v>#VALUE!</v>
      </c>
      <c r="G162">
        <f t="shared" si="8"/>
        <v>2.4114848528124858E-3</v>
      </c>
      <c r="H162" s="28" t="e">
        <f t="shared" si="9"/>
        <v>#VALUE!</v>
      </c>
      <c r="I162" s="25" t="e">
        <f t="shared" si="10"/>
        <v>#VALUE!</v>
      </c>
      <c r="J162" s="28" t="e">
        <f t="shared" si="11"/>
        <v>#VALUE!</v>
      </c>
    </row>
    <row r="163" spans="1:10" x14ac:dyDescent="0.15">
      <c r="A163" t="s">
        <v>249</v>
      </c>
      <c r="B163">
        <f>'C-speciation'!F165</f>
        <v>285.31052083333327</v>
      </c>
      <c r="C163" s="48">
        <v>0.98</v>
      </c>
      <c r="D163" s="6">
        <f>(((C163/1000000)*((0.0013))*Volumes!B160/1000)*((Volumes!B160+Volumes!C160)/Volumes!C160))</f>
        <v>8.4466199999999994E-12</v>
      </c>
      <c r="E163" s="6">
        <f>(((Volumes!B160+Volumes!C160)/Volumes!C160)*(Volumes!C160/1000*(C163/1000000)))/(0.082057*308.15)</f>
        <v>8.5652598340759537E-10</v>
      </c>
      <c r="F163" s="4">
        <f>(D163+E163)*(1000/Volumes!D160)*1000000</f>
        <v>0.17299452068151908</v>
      </c>
      <c r="G163">
        <f t="shared" si="8"/>
        <v>1.8375890588631255E-3</v>
      </c>
      <c r="H163" s="28">
        <f t="shared" si="9"/>
        <v>94.142115097565309</v>
      </c>
      <c r="I163" s="25">
        <f t="shared" si="10"/>
        <v>49.54848163029753</v>
      </c>
      <c r="J163" s="28">
        <f t="shared" si="11"/>
        <v>2.0776641933850439</v>
      </c>
    </row>
    <row r="164" spans="1:10" x14ac:dyDescent="0.15">
      <c r="A164" t="s">
        <v>250</v>
      </c>
      <c r="B164">
        <f>'C-speciation'!F166</f>
        <v>278.75828124999998</v>
      </c>
      <c r="C164" s="48" t="s">
        <v>93</v>
      </c>
      <c r="D164" s="6" t="e">
        <f>(((C164/1000000)*((0.0013))*Volumes!B161/1000)*((Volumes!B161+Volumes!C161)/Volumes!C161))</f>
        <v>#VALUE!</v>
      </c>
      <c r="E164" s="6" t="e">
        <f>(((Volumes!B161+Volumes!C161)/Volumes!C161)*(Volumes!C161/1000*(C164/1000000)))/(0.082057*308.15)</f>
        <v>#VALUE!</v>
      </c>
      <c r="F164" s="4" t="e">
        <f>(D164+E164)*(1000/Volumes!D161)*1000000</f>
        <v>#VALUE!</v>
      </c>
      <c r="G164">
        <f t="shared" si="8"/>
        <v>2.1751524460610957E-3</v>
      </c>
      <c r="H164" s="28" t="e">
        <f t="shared" si="9"/>
        <v>#VALUE!</v>
      </c>
      <c r="I164" s="25" t="e">
        <f t="shared" si="10"/>
        <v>#VALUE!</v>
      </c>
      <c r="J164" s="28" t="e">
        <f t="shared" si="11"/>
        <v>#VALUE!</v>
      </c>
    </row>
    <row r="165" spans="1:10" x14ac:dyDescent="0.15">
      <c r="A165" t="s">
        <v>251</v>
      </c>
      <c r="B165">
        <f>'C-speciation'!F167</f>
        <v>285.51458333333329</v>
      </c>
      <c r="C165" s="48">
        <v>1.1239799807284501</v>
      </c>
      <c r="D165" s="6">
        <f>(((C165/1000000)*((0.0013))*Volumes!B162/1000)*((Volumes!B162+Volumes!C162)/Volumes!C162))</f>
        <v>9.6875834538985105E-12</v>
      </c>
      <c r="E165" s="6">
        <f>(((Volumes!B162+Volumes!C162)/Volumes!C162)*(Volumes!C162/1000*(C165/1000000)))/(0.082057*308.15)</f>
        <v>9.8236536563661818E-10</v>
      </c>
      <c r="F165" s="4">
        <f>(D165+E165)*(1000/Volumes!D162)*1000000</f>
        <v>0.19841058981810336</v>
      </c>
      <c r="G165">
        <f t="shared" si="8"/>
        <v>1.8286379867595032E-3</v>
      </c>
      <c r="H165" s="28">
        <f t="shared" si="9"/>
        <v>108.50184194724251</v>
      </c>
      <c r="I165" s="25">
        <f t="shared" si="10"/>
        <v>57.106232603811847</v>
      </c>
      <c r="J165" s="28">
        <f t="shared" si="11"/>
        <v>2.3829111837154215</v>
      </c>
    </row>
    <row r="166" spans="1:10" x14ac:dyDescent="0.15">
      <c r="A166" t="s">
        <v>252</v>
      </c>
      <c r="B166">
        <f>'C-speciation'!F168</f>
        <v>275.14999999999998</v>
      </c>
      <c r="C166" s="48" t="s">
        <v>93</v>
      </c>
      <c r="D166" s="6" t="e">
        <f>(((C166/1000000)*((0.0013))*Volumes!B163/1000)*((Volumes!B163+Volumes!C163)/Volumes!C163))</f>
        <v>#VALUE!</v>
      </c>
      <c r="E166" s="6" t="e">
        <f>(((Volumes!B163+Volumes!C163)/Volumes!C163)*(Volumes!C163/1000*(C166/1000000)))/(0.082057*308.15)</f>
        <v>#VALUE!</v>
      </c>
      <c r="F166" s="4" t="e">
        <f>(D166+E166)*(1000/Volumes!D163)*1000000</f>
        <v>#VALUE!</v>
      </c>
      <c r="G166">
        <f t="shared" si="8"/>
        <v>2.4114848528124858E-3</v>
      </c>
      <c r="H166" s="28" t="e">
        <f t="shared" si="9"/>
        <v>#VALUE!</v>
      </c>
      <c r="I166" s="25" t="e">
        <f t="shared" si="10"/>
        <v>#VALUE!</v>
      </c>
      <c r="J166" s="28" t="e">
        <f t="shared" si="11"/>
        <v>#VALUE!</v>
      </c>
    </row>
    <row r="167" spans="1:10" x14ac:dyDescent="0.15">
      <c r="A167" t="s">
        <v>253</v>
      </c>
      <c r="B167">
        <f>'C-speciation'!F169</f>
        <v>275.14999999999998</v>
      </c>
      <c r="C167" s="48" t="s">
        <v>93</v>
      </c>
      <c r="D167" s="6" t="e">
        <f>(((C167/1000000)*((0.0013))*Volumes!B164/1000)*((Volumes!B164+Volumes!C164)/Volumes!C164))</f>
        <v>#VALUE!</v>
      </c>
      <c r="E167" s="6" t="e">
        <f>(((Volumes!B164+Volumes!C164)/Volumes!C164)*(Volumes!C164/1000*(C167/1000000)))/(0.082057*308.15)</f>
        <v>#VALUE!</v>
      </c>
      <c r="F167" s="4" t="e">
        <f>(D167+E167)*(1000/Volumes!D164)*1000000</f>
        <v>#VALUE!</v>
      </c>
      <c r="G167">
        <f t="shared" si="8"/>
        <v>2.4114848528124858E-3</v>
      </c>
      <c r="H167" s="28" t="e">
        <f t="shared" si="9"/>
        <v>#VALUE!</v>
      </c>
      <c r="I167" s="25" t="e">
        <f t="shared" si="10"/>
        <v>#VALUE!</v>
      </c>
      <c r="J167" s="28" t="e">
        <f t="shared" si="11"/>
        <v>#VALUE!</v>
      </c>
    </row>
    <row r="168" spans="1:10" x14ac:dyDescent="0.15">
      <c r="A168" t="s">
        <v>254</v>
      </c>
      <c r="B168">
        <f>'C-speciation'!F170</f>
        <v>275.14999999999998</v>
      </c>
      <c r="C168" s="48" t="s">
        <v>93</v>
      </c>
      <c r="D168" s="6" t="e">
        <f>(((C168/1000000)*((0.0013))*Volumes!B165/1000)*((Volumes!B165+Volumes!C165)/Volumes!C165))</f>
        <v>#VALUE!</v>
      </c>
      <c r="E168" s="6" t="e">
        <f>(((Volumes!B165+Volumes!C165)/Volumes!C165)*(Volumes!C165/1000*(C168/1000000)))/(0.082057*308.15)</f>
        <v>#VALUE!</v>
      </c>
      <c r="F168" s="4" t="e">
        <f>(D168+E168)*(1000/Volumes!D165)*1000000</f>
        <v>#VALUE!</v>
      </c>
      <c r="G168">
        <f t="shared" si="8"/>
        <v>2.4114848528124858E-3</v>
      </c>
      <c r="H168" s="28" t="e">
        <f t="shared" si="9"/>
        <v>#VALUE!</v>
      </c>
      <c r="I168" s="25" t="e">
        <f t="shared" si="10"/>
        <v>#VALUE!</v>
      </c>
      <c r="J168" s="28" t="e">
        <f t="shared" si="11"/>
        <v>#VALUE!</v>
      </c>
    </row>
    <row r="169" spans="1:10" x14ac:dyDescent="0.15">
      <c r="A169" t="s">
        <v>255</v>
      </c>
      <c r="B169">
        <f>'C-speciation'!F171</f>
        <v>281.86470833333328</v>
      </c>
      <c r="C169" s="48" t="s">
        <v>93</v>
      </c>
      <c r="D169" s="6" t="e">
        <f>(((C169/1000000)*((0.0013))*Volumes!B166/1000)*((Volumes!B166+Volumes!C166)/Volumes!C166))</f>
        <v>#VALUE!</v>
      </c>
      <c r="E169" s="6" t="e">
        <f>(((Volumes!B166+Volumes!C166)/Volumes!C166)*(Volumes!C166/1000*(C169/1000000)))/(0.082057*308.15)</f>
        <v>#VALUE!</v>
      </c>
      <c r="F169" s="4" t="e">
        <f>(D169+E169)*(1000/Volumes!D166)*1000000</f>
        <v>#VALUE!</v>
      </c>
      <c r="G169">
        <f t="shared" si="8"/>
        <v>2.0021707563625708E-3</v>
      </c>
      <c r="H169" s="28" t="e">
        <f t="shared" si="9"/>
        <v>#VALUE!</v>
      </c>
      <c r="I169" s="25" t="e">
        <f t="shared" si="10"/>
        <v>#VALUE!</v>
      </c>
      <c r="J169" s="28" t="e">
        <f t="shared" si="11"/>
        <v>#VALUE!</v>
      </c>
    </row>
    <row r="170" spans="1:10" x14ac:dyDescent="0.15">
      <c r="A170" t="s">
        <v>256</v>
      </c>
      <c r="B170">
        <f>'C-speciation'!F172</f>
        <v>275.14999999999998</v>
      </c>
      <c r="C170" s="48" t="s">
        <v>93</v>
      </c>
      <c r="D170" s="6" t="e">
        <f>(((C170/1000000)*((0.0013))*Volumes!B167/1000)*((Volumes!B167+Volumes!C167)/Volumes!C167))</f>
        <v>#VALUE!</v>
      </c>
      <c r="E170" s="6" t="e">
        <f>(((Volumes!B167+Volumes!C167)/Volumes!C167)*(Volumes!C167/1000*(C170/1000000)))/(0.082057*308.15)</f>
        <v>#VALUE!</v>
      </c>
      <c r="F170" s="4" t="e">
        <f>(D170+E170)*(1000/Volumes!D167)*1000000</f>
        <v>#VALUE!</v>
      </c>
      <c r="G170">
        <f t="shared" si="8"/>
        <v>2.4114848528124858E-3</v>
      </c>
      <c r="H170" s="28" t="e">
        <f t="shared" si="9"/>
        <v>#VALUE!</v>
      </c>
      <c r="I170" s="25" t="e">
        <f t="shared" si="10"/>
        <v>#VALUE!</v>
      </c>
      <c r="J170" s="28" t="e">
        <f t="shared" si="11"/>
        <v>#VALUE!</v>
      </c>
    </row>
    <row r="171" spans="1:10" x14ac:dyDescent="0.15">
      <c r="A171" t="s">
        <v>257</v>
      </c>
      <c r="B171">
        <f>'C-speciation'!F173</f>
        <v>275.14999999999998</v>
      </c>
      <c r="C171" s="48" t="s">
        <v>93</v>
      </c>
      <c r="D171" s="6" t="e">
        <f>(((C171/1000000)*((0.0013))*Volumes!B168/1000)*((Volumes!B168+Volumes!C168)/Volumes!C168))</f>
        <v>#VALUE!</v>
      </c>
      <c r="E171" s="6" t="e">
        <f>(((Volumes!B168+Volumes!C168)/Volumes!C168)*(Volumes!C168/1000*(C171/1000000)))/(0.082057*308.15)</f>
        <v>#VALUE!</v>
      </c>
      <c r="F171" s="4" t="e">
        <f>(D171+E171)*(1000/Volumes!D168)*1000000</f>
        <v>#VALUE!</v>
      </c>
      <c r="G171">
        <f t="shared" si="8"/>
        <v>2.4114848528124858E-3</v>
      </c>
      <c r="H171" s="28" t="e">
        <f t="shared" si="9"/>
        <v>#VALUE!</v>
      </c>
      <c r="I171" s="25" t="e">
        <f t="shared" si="10"/>
        <v>#VALUE!</v>
      </c>
      <c r="J171" s="28" t="e">
        <f t="shared" si="11"/>
        <v>#VALUE!</v>
      </c>
    </row>
    <row r="172" spans="1:10" x14ac:dyDescent="0.15">
      <c r="A172" t="s">
        <v>258</v>
      </c>
      <c r="B172">
        <f>'C-speciation'!F174</f>
        <v>275.14999999999998</v>
      </c>
      <c r="C172" s="48" t="s">
        <v>93</v>
      </c>
      <c r="D172" s="6" t="e">
        <f>(((C172/1000000)*((0.0013))*Volumes!B169/1000)*((Volumes!B169+Volumes!C169)/Volumes!C169))</f>
        <v>#VALUE!</v>
      </c>
      <c r="E172" s="6" t="e">
        <f>(((Volumes!B169+Volumes!C169)/Volumes!C169)*(Volumes!C169/1000*(C172/1000000)))/(0.082057*308.15)</f>
        <v>#VALUE!</v>
      </c>
      <c r="F172" s="4" t="e">
        <f>(D172+E172)*(1000/Volumes!D169)*1000000</f>
        <v>#VALUE!</v>
      </c>
      <c r="G172">
        <f t="shared" si="8"/>
        <v>2.4114848528124858E-3</v>
      </c>
      <c r="H172" s="28" t="e">
        <f t="shared" si="9"/>
        <v>#VALUE!</v>
      </c>
      <c r="I172" s="25" t="e">
        <f t="shared" si="10"/>
        <v>#VALUE!</v>
      </c>
      <c r="J172" s="28" t="e">
        <f t="shared" si="11"/>
        <v>#VALUE!</v>
      </c>
    </row>
    <row r="173" spans="1:10" x14ac:dyDescent="0.15">
      <c r="A173" t="s">
        <v>259</v>
      </c>
      <c r="B173">
        <f>'C-speciation'!F175</f>
        <v>275.14999999999998</v>
      </c>
      <c r="C173" s="48">
        <v>0.91</v>
      </c>
      <c r="D173" s="6">
        <f>(((C173/1000000)*((0.0013))*Volumes!B170/1000)*((Volumes!B170+Volumes!C170)/Volumes!C170))</f>
        <v>7.8432899999999998E-12</v>
      </c>
      <c r="E173" s="6">
        <f>(((Volumes!B170+Volumes!C170)/Volumes!C170)*(Volumes!C170/1000*(C173/1000000)))/(0.082057*308.15)</f>
        <v>7.9534555602133862E-10</v>
      </c>
      <c r="F173" s="4">
        <f>(D173+E173)*(1000/Volumes!D170)*1000000</f>
        <v>0.16063776920426773</v>
      </c>
      <c r="G173">
        <f t="shared" si="8"/>
        <v>2.4114848528124858E-3</v>
      </c>
      <c r="H173" s="28">
        <f t="shared" si="9"/>
        <v>66.613633926382676</v>
      </c>
      <c r="I173" s="25">
        <f t="shared" si="10"/>
        <v>35.059807329675095</v>
      </c>
      <c r="J173" s="28">
        <f t="shared" si="11"/>
        <v>1.9292596081432554</v>
      </c>
    </row>
    <row r="174" spans="1:10" x14ac:dyDescent="0.15">
      <c r="A174" t="s">
        <v>260</v>
      </c>
      <c r="B174">
        <f>'C-speciation'!F176</f>
        <v>275.14999999999998</v>
      </c>
      <c r="C174" s="48" t="s">
        <v>93</v>
      </c>
      <c r="D174" s="6" t="e">
        <f>(((C174/1000000)*((0.0013))*Volumes!B171/1000)*((Volumes!B171+Volumes!C171)/Volumes!C171))</f>
        <v>#VALUE!</v>
      </c>
      <c r="E174" s="6" t="e">
        <f>(((Volumes!B171+Volumes!C171)/Volumes!C171)*(Volumes!C171/1000*(C174/1000000)))/(0.082057*308.15)</f>
        <v>#VALUE!</v>
      </c>
      <c r="F174" s="4" t="e">
        <f>(D174+E174)*(1000/Volumes!D171)*1000000</f>
        <v>#VALUE!</v>
      </c>
      <c r="G174">
        <f t="shared" si="8"/>
        <v>2.4114848528124858E-3</v>
      </c>
      <c r="H174" s="28" t="e">
        <f t="shared" si="9"/>
        <v>#VALUE!</v>
      </c>
      <c r="I174" s="25" t="e">
        <f t="shared" si="10"/>
        <v>#VALUE!</v>
      </c>
      <c r="J174" s="28" t="e">
        <f t="shared" si="11"/>
        <v>#VALUE!</v>
      </c>
    </row>
    <row r="175" spans="1:10" x14ac:dyDescent="0.15">
      <c r="A175" t="s">
        <v>261</v>
      </c>
      <c r="B175">
        <f>'C-speciation'!F177</f>
        <v>281.84481249999999</v>
      </c>
      <c r="C175" s="48">
        <v>2.4565220815363999</v>
      </c>
      <c r="D175" s="6">
        <f>(((C175/1000000)*((0.0013))*Volumes!B172/1000)*((Volumes!B172+Volumes!C172)/Volumes!C172))</f>
        <v>2.1172763820762226E-11</v>
      </c>
      <c r="E175" s="6">
        <f>(((Volumes!B172+Volumes!C172)/Volumes!C172)*(Volumes!C172/1000*(C175/1000000)))/(0.082057*308.15)</f>
        <v>2.1470152976024878E-9</v>
      </c>
      <c r="F175" s="4">
        <f>(D175+E175)*(1000/Volumes!D172)*1000000</f>
        <v>0.43363761228465003</v>
      </c>
      <c r="G175">
        <f t="shared" si="8"/>
        <v>2.0031996985292477E-3</v>
      </c>
      <c r="H175" s="28">
        <f t="shared" si="9"/>
        <v>216.47248279990629</v>
      </c>
      <c r="I175" s="25">
        <f t="shared" si="10"/>
        <v>113.93288568416121</v>
      </c>
      <c r="J175" s="28">
        <f t="shared" si="11"/>
        <v>5.2079877235386469</v>
      </c>
    </row>
    <row r="176" spans="1:10" x14ac:dyDescent="0.15">
      <c r="A176" t="s">
        <v>262</v>
      </c>
      <c r="B176">
        <f>'C-speciation'!F178</f>
        <v>275.14999999999998</v>
      </c>
      <c r="C176" s="48">
        <v>2.86</v>
      </c>
      <c r="D176" s="6">
        <f>(((C176/1000000)*((0.0013))*Volumes!B173/1000)*((Volumes!B173+Volumes!C173)/Volumes!C173))</f>
        <v>2.4650339999999993E-11</v>
      </c>
      <c r="E176" s="6">
        <f>(((Volumes!B173+Volumes!C173)/Volumes!C173)*(Volumes!C173/1000*(C176/1000000)))/(0.082057*308.15)</f>
        <v>2.4996574617813495E-9</v>
      </c>
      <c r="F176" s="4">
        <f>(D176+E176)*(1000/Volumes!D173)*1000000</f>
        <v>0.50486156035626994</v>
      </c>
      <c r="G176">
        <f t="shared" si="8"/>
        <v>2.4114848528124858E-3</v>
      </c>
      <c r="H176" s="28">
        <f t="shared" si="9"/>
        <v>209.35713519720267</v>
      </c>
      <c r="I176" s="25">
        <f t="shared" si="10"/>
        <v>110.18796589326456</v>
      </c>
      <c r="J176" s="28">
        <f t="shared" si="11"/>
        <v>6.0633873398788021</v>
      </c>
    </row>
    <row r="177" spans="1:10" x14ac:dyDescent="0.15">
      <c r="A177" t="s">
        <v>263</v>
      </c>
      <c r="B177">
        <f>'C-speciation'!F179</f>
        <v>275.94214583333331</v>
      </c>
      <c r="C177" s="48" t="s">
        <v>93</v>
      </c>
      <c r="D177" s="6" t="e">
        <f>(((C177/1000000)*((0.0013))*Volumes!B174/1000)*((Volumes!B174+Volumes!C174)/Volumes!C174))</f>
        <v>#VALUE!</v>
      </c>
      <c r="E177" s="6" t="e">
        <f>(((Volumes!B174+Volumes!C174)/Volumes!C174)*(Volumes!C174/1000*(C177/1000000)))/(0.082057*308.15)</f>
        <v>#VALUE!</v>
      </c>
      <c r="F177" s="4" t="e">
        <f>(D177+E177)*(1000/Volumes!D174)*1000000</f>
        <v>#VALUE!</v>
      </c>
      <c r="G177">
        <f t="shared" si="8"/>
        <v>2.3559592889247465E-3</v>
      </c>
      <c r="H177" s="28" t="e">
        <f t="shared" si="9"/>
        <v>#VALUE!</v>
      </c>
      <c r="I177" s="25" t="e">
        <f t="shared" si="10"/>
        <v>#VALUE!</v>
      </c>
      <c r="J177" s="28" t="e">
        <f t="shared" si="11"/>
        <v>#VALUE!</v>
      </c>
    </row>
    <row r="178" spans="1:10" x14ac:dyDescent="0.15">
      <c r="A178" t="s">
        <v>264</v>
      </c>
      <c r="B178">
        <f>'C-speciation'!F180</f>
        <v>289.72322916666667</v>
      </c>
      <c r="C178" s="48">
        <v>6.74</v>
      </c>
      <c r="D178" s="6">
        <f>(((C178/1000000)*((0.0013))*Volumes!B175/1000)*((Volumes!B175+Volumes!C175)/Volumes!C175))</f>
        <v>5.8092059999999997E-11</v>
      </c>
      <c r="E178" s="6">
        <f>(((Volumes!B175+Volumes!C175)/Volumes!C175)*(Volumes!C175/1000*(C178/1000000)))/(0.082057*308.15)</f>
        <v>5.8908011511910134E-9</v>
      </c>
      <c r="F178" s="4">
        <f>(D178+E178)*(1000/Volumes!D175)*1000000</f>
        <v>1.1897786422382026</v>
      </c>
      <c r="G178">
        <f t="shared" si="8"/>
        <v>1.661311175073947E-3</v>
      </c>
      <c r="H178" s="28">
        <f t="shared" si="9"/>
        <v>716.16844579718429</v>
      </c>
      <c r="I178" s="25">
        <f t="shared" si="10"/>
        <v>376.9307609458865</v>
      </c>
      <c r="J178" s="28">
        <f t="shared" si="11"/>
        <v>14.289241493280814</v>
      </c>
    </row>
    <row r="179" spans="1:10" x14ac:dyDescent="0.15">
      <c r="A179" t="s">
        <v>265</v>
      </c>
      <c r="B179">
        <f>'C-speciation'!F181</f>
        <v>286.00937499999998</v>
      </c>
      <c r="C179" s="48">
        <v>1.68799924197979</v>
      </c>
      <c r="D179" s="6">
        <f>(((C179/1000000)*((0.0013))*Volumes!B176/1000)*((Volumes!B176+Volumes!C176)/Volumes!C176))</f>
        <v>1.454886546662381E-11</v>
      </c>
      <c r="E179" s="6">
        <f>(((Volumes!B176+Volumes!C176)/Volumes!C176)*(Volumes!C176/1000*(C179/1000000)))/(0.082057*308.15)</f>
        <v>1.4753216436000152E-9</v>
      </c>
      <c r="F179" s="4">
        <f>(D179+E179)*(1000/Volumes!D176)*1000000</f>
        <v>0.29797410181332784</v>
      </c>
      <c r="G179">
        <f t="shared" si="8"/>
        <v>1.8072770566149637E-3</v>
      </c>
      <c r="H179" s="28">
        <f t="shared" si="9"/>
        <v>164.87461107453794</v>
      </c>
      <c r="I179" s="25">
        <f t="shared" si="10"/>
        <v>86.776111091862077</v>
      </c>
      <c r="J179" s="28">
        <f t="shared" si="11"/>
        <v>3.5786689627780675</v>
      </c>
    </row>
    <row r="180" spans="1:10" x14ac:dyDescent="0.15">
      <c r="A180" t="s">
        <v>266</v>
      </c>
      <c r="B180">
        <f>'C-speciation'!F182</f>
        <v>282.86077083333333</v>
      </c>
      <c r="C180" s="48">
        <v>3.64674718090148</v>
      </c>
      <c r="D180" s="6">
        <f>(((C180/1000000)*((0.0013))*Volumes!B177/1000)*((Volumes!B177+Volumes!C177)/Volumes!C177))</f>
        <v>3.1431313952189856E-11</v>
      </c>
      <c r="E180" s="6">
        <f>(((Volumes!B177+Volumes!C177)/Volumes!C177)*(Volumes!C177/1000*(C180/1000000)))/(0.082057*308.15)</f>
        <v>3.1872793013882816E-9</v>
      </c>
      <c r="F180" s="4">
        <f>(D180+E180)*(1000/Volumes!D177)*1000000</f>
        <v>0.64374212306809431</v>
      </c>
      <c r="G180">
        <f t="shared" si="8"/>
        <v>1.9518635867745594E-3</v>
      </c>
      <c r="H180" s="28">
        <f t="shared" si="9"/>
        <v>329.80897201523879</v>
      </c>
      <c r="I180" s="25">
        <f t="shared" si="10"/>
        <v>173.58366948170465</v>
      </c>
      <c r="J180" s="28">
        <f t="shared" si="11"/>
        <v>7.7313428980478127</v>
      </c>
    </row>
    <row r="181" spans="1:10" x14ac:dyDescent="0.15">
      <c r="A181" t="s">
        <v>267</v>
      </c>
      <c r="B181">
        <f>'C-speciation'!F183</f>
        <v>287.2439583333333</v>
      </c>
      <c r="C181" s="48">
        <v>1.7925324946614201</v>
      </c>
      <c r="D181" s="6">
        <f>(((C181/1000000)*((0.0013))*Volumes!B178/1000)*((Volumes!B178+Volumes!C178)/Volumes!C178))</f>
        <v>1.5449837571486776E-11</v>
      </c>
      <c r="E181" s="6">
        <f>(((Volumes!B178+Volumes!C178)/Volumes!C178)*(Volumes!C178/1000*(C181/1000000)))/(0.082057*308.15)</f>
        <v>1.5666843446734111E-9</v>
      </c>
      <c r="F181" s="4">
        <f>(D181+E181)*(1000/Volumes!D178)*1000000</f>
        <v>0.31642683644897962</v>
      </c>
      <c r="G181">
        <f t="shared" si="8"/>
        <v>1.7560246126658069E-3</v>
      </c>
      <c r="H181" s="28">
        <f t="shared" si="9"/>
        <v>180.19498939061828</v>
      </c>
      <c r="I181" s="25">
        <f t="shared" si="10"/>
        <v>94.839468100325419</v>
      </c>
      <c r="J181" s="28">
        <f t="shared" si="11"/>
        <v>3.8002863057522451</v>
      </c>
    </row>
    <row r="182" spans="1:10" x14ac:dyDescent="0.15">
      <c r="A182" t="s">
        <v>268</v>
      </c>
      <c r="B182">
        <f>'C-speciation'!F184</f>
        <v>275.14999999999998</v>
      </c>
      <c r="C182" s="48" t="s">
        <v>93</v>
      </c>
      <c r="D182" s="6" t="e">
        <f>(((C182/1000000)*((0.0013))*Volumes!B179/1000)*((Volumes!B179+Volumes!C179)/Volumes!C179))</f>
        <v>#VALUE!</v>
      </c>
      <c r="E182" s="6" t="e">
        <f>(((Volumes!B179+Volumes!C179)/Volumes!C179)*(Volumes!C179/1000*(C182/1000000)))/(0.082057*308.15)</f>
        <v>#VALUE!</v>
      </c>
      <c r="F182" s="4" t="e">
        <f>(D182+E182)*(1000/Volumes!D179)*1000000</f>
        <v>#VALUE!</v>
      </c>
      <c r="G182">
        <f t="shared" si="8"/>
        <v>2.4114848528124858E-3</v>
      </c>
      <c r="H182" s="28" t="e">
        <f t="shared" si="9"/>
        <v>#VALUE!</v>
      </c>
      <c r="I182" s="25" t="e">
        <f t="shared" si="10"/>
        <v>#VALUE!</v>
      </c>
      <c r="J182" s="28" t="e">
        <f t="shared" si="11"/>
        <v>#VALUE!</v>
      </c>
    </row>
    <row r="183" spans="1:10" x14ac:dyDescent="0.15">
      <c r="A183" t="s">
        <v>269</v>
      </c>
      <c r="B183">
        <f>'C-speciation'!F185</f>
        <v>280.53905208333333</v>
      </c>
      <c r="C183" s="48">
        <v>6.15</v>
      </c>
      <c r="D183" s="6">
        <f>(((C183/1000000)*((0.0013))*Volumes!B180/1000)*((Volumes!B180+Volumes!C180)/Volumes!C180))</f>
        <v>5.3006849999999997E-11</v>
      </c>
      <c r="E183" s="6">
        <f>(((Volumes!B180+Volumes!C180)/Volumes!C180)*(Volumes!C180/1000*(C183/1000000)))/(0.082057*308.15)</f>
        <v>5.3751375489354204E-9</v>
      </c>
      <c r="F183" s="4">
        <f>(D183+E183)*(1000/Volumes!D180)*1000000</f>
        <v>1.0856288797870841</v>
      </c>
      <c r="G183">
        <f t="shared" si="8"/>
        <v>2.0728810496650099E-3</v>
      </c>
      <c r="H183" s="28">
        <f t="shared" si="9"/>
        <v>523.72946337780854</v>
      </c>
      <c r="I183" s="25">
        <f t="shared" si="10"/>
        <v>275.64708598832027</v>
      </c>
      <c r="J183" s="28">
        <f t="shared" si="11"/>
        <v>13.03840284624288</v>
      </c>
    </row>
    <row r="184" spans="1:10" x14ac:dyDescent="0.15">
      <c r="A184" t="s">
        <v>270</v>
      </c>
      <c r="B184">
        <f>'C-speciation'!F186</f>
        <v>275.14999999999998</v>
      </c>
      <c r="C184" s="48" t="s">
        <v>93</v>
      </c>
      <c r="D184" s="6" t="e">
        <f>(((C184/1000000)*((0.0013))*Volumes!B181/1000)*((Volumes!B181+Volumes!C181)/Volumes!C181))</f>
        <v>#VALUE!</v>
      </c>
      <c r="E184" s="6" t="e">
        <f>(((Volumes!B181+Volumes!C181)/Volumes!C181)*(Volumes!C181/1000*(C184/1000000)))/(0.082057*308.15)</f>
        <v>#VALUE!</v>
      </c>
      <c r="F184" s="4" t="e">
        <f>(D184+E184)*(1000/Volumes!D181)*1000000</f>
        <v>#VALUE!</v>
      </c>
      <c r="G184">
        <f t="shared" si="8"/>
        <v>2.4114848528124858E-3</v>
      </c>
      <c r="H184" s="28" t="e">
        <f t="shared" si="9"/>
        <v>#VALUE!</v>
      </c>
      <c r="I184" s="25" t="e">
        <f t="shared" si="10"/>
        <v>#VALUE!</v>
      </c>
      <c r="J184" s="28" t="e">
        <f t="shared" si="11"/>
        <v>#VALUE!</v>
      </c>
    </row>
    <row r="185" spans="1:10" x14ac:dyDescent="0.15">
      <c r="A185" t="s">
        <v>271</v>
      </c>
      <c r="B185">
        <f>'C-speciation'!F187</f>
        <v>281.38583333333332</v>
      </c>
      <c r="C185" s="48" t="s">
        <v>93</v>
      </c>
      <c r="D185" s="6" t="e">
        <f>(((C185/1000000)*((0.0013))*Volumes!B182/1000)*((Volumes!B182+Volumes!C182)/Volumes!C182))</f>
        <v>#VALUE!</v>
      </c>
      <c r="E185" s="6" t="e">
        <f>(((Volumes!B182+Volumes!C182)/Volumes!C182)*(Volumes!C182/1000*(C185/1000000)))/(0.082057*308.15)</f>
        <v>#VALUE!</v>
      </c>
      <c r="F185" s="4" t="e">
        <f>(D185+E185)*(1000/Volumes!D182)*1000000</f>
        <v>#VALUE!</v>
      </c>
      <c r="G185">
        <f t="shared" si="8"/>
        <v>2.0272054795225066E-3</v>
      </c>
      <c r="H185" s="28" t="e">
        <f t="shared" si="9"/>
        <v>#VALUE!</v>
      </c>
      <c r="I185" s="25" t="e">
        <f t="shared" si="10"/>
        <v>#VALUE!</v>
      </c>
      <c r="J185" s="28" t="e">
        <f t="shared" si="11"/>
        <v>#VALUE!</v>
      </c>
    </row>
    <row r="186" spans="1:10" x14ac:dyDescent="0.15">
      <c r="A186" t="s">
        <v>272</v>
      </c>
      <c r="B186">
        <f>'C-speciation'!F188</f>
        <v>275.14999999999998</v>
      </c>
      <c r="C186" s="48">
        <v>2.0099999999999998</v>
      </c>
      <c r="D186" s="6">
        <f>(((C186/1000000)*((0.0013))*Volumes!B183/1000)*((Volumes!B183+Volumes!C183)/Volumes!C183))</f>
        <v>1.7324189999999997E-11</v>
      </c>
      <c r="E186" s="6">
        <f>(((Volumes!B183+Volumes!C183)/Volumes!C183)*(Volumes!C183/1000*(C186/1000000)))/(0.082057*308.15)</f>
        <v>1.7567522720910883E-9</v>
      </c>
      <c r="F186" s="4">
        <f>(D186+E186)*(1000/Volumes!D183)*1000000</f>
        <v>0.35481529241821769</v>
      </c>
      <c r="G186">
        <f t="shared" si="8"/>
        <v>2.4114848528124858E-3</v>
      </c>
      <c r="H186" s="28">
        <f t="shared" si="9"/>
        <v>147.13560900222984</v>
      </c>
      <c r="I186" s="25">
        <f t="shared" si="10"/>
        <v>77.439794211699919</v>
      </c>
      <c r="J186" s="28">
        <f t="shared" si="11"/>
        <v>4.2613316619427941</v>
      </c>
    </row>
    <row r="187" spans="1:10" x14ac:dyDescent="0.15">
      <c r="A187" t="s">
        <v>273</v>
      </c>
      <c r="B187">
        <f>'C-speciation'!F189</f>
        <v>278.75828124999998</v>
      </c>
      <c r="C187" s="48">
        <v>1.1499999999999999</v>
      </c>
      <c r="D187" s="6">
        <f>(((C187/1000000)*((0.0013))*Volumes!B184/1000)*((Volumes!B184+Volumes!C184)/Volumes!C184))</f>
        <v>9.911849999999998E-12</v>
      </c>
      <c r="E187" s="6">
        <f>(((Volumes!B184+Volumes!C184)/Volumes!C184)*(Volumes!C184/1000*(C187/1000000)))/(0.082057*308.15)</f>
        <v>1.0051070213456477E-9</v>
      </c>
      <c r="F187" s="4">
        <f>(D187+E187)*(1000/Volumes!D184)*1000000</f>
        <v>0.20300377426912952</v>
      </c>
      <c r="G187">
        <f t="shared" si="8"/>
        <v>2.1751524460610957E-3</v>
      </c>
      <c r="H187" s="28">
        <f t="shared" si="9"/>
        <v>93.328527219663002</v>
      </c>
      <c r="I187" s="25">
        <f t="shared" si="10"/>
        <v>49.12027748403316</v>
      </c>
      <c r="J187" s="28">
        <f t="shared" si="11"/>
        <v>2.4380753289722454</v>
      </c>
    </row>
    <row r="188" spans="1:10" x14ac:dyDescent="0.15">
      <c r="A188" t="s">
        <v>274</v>
      </c>
      <c r="B188">
        <f>'C-speciation'!F190</f>
        <v>284.3696875</v>
      </c>
      <c r="C188" s="48">
        <v>3.33</v>
      </c>
      <c r="D188" s="6">
        <f>(((C188/1000000)*((0.0013))*Volumes!B185/1000)*((Volumes!B185+Volumes!C185)/Volumes!C185))</f>
        <v>2.8701269999999995E-11</v>
      </c>
      <c r="E188" s="6">
        <f>(((Volumes!B185+Volumes!C185)/Volumes!C185)*(Volumes!C185/1000*(C188/1000000)))/(0.082057*308.15)</f>
        <v>2.910440331374788E-9</v>
      </c>
      <c r="F188" s="4">
        <f>(D188+E188)*(1000/Volumes!D185)*1000000</f>
        <v>0.58782832027495757</v>
      </c>
      <c r="G188">
        <f t="shared" si="8"/>
        <v>1.8799573398069886E-3</v>
      </c>
      <c r="H188" s="28">
        <f t="shared" si="9"/>
        <v>312.68173369046167</v>
      </c>
      <c r="I188" s="25">
        <f t="shared" si="10"/>
        <v>164.56933352129562</v>
      </c>
      <c r="J188" s="28">
        <f t="shared" si="11"/>
        <v>7.0598181265022406</v>
      </c>
    </row>
    <row r="189" spans="1:10" x14ac:dyDescent="0.15">
      <c r="A189" t="s">
        <v>275</v>
      </c>
      <c r="B189">
        <f>'C-speciation'!F191</f>
        <v>282.65781249999998</v>
      </c>
      <c r="C189" s="48">
        <v>3.1677300099120602</v>
      </c>
      <c r="D189" s="6">
        <f>(((C189/1000000)*((0.0013))*Volumes!B186/1000)*((Volumes!B186+Volumes!C186)/Volumes!C186))</f>
        <v>2.7302664955432047E-11</v>
      </c>
      <c r="E189" s="6">
        <f>(((Volumes!B186+Volumes!C186)/Volumes!C186)*(Volumes!C186/1000*(C189/1000000)))/(0.082057*308.15)</f>
        <v>2.7686153692955909E-9</v>
      </c>
      <c r="F189" s="4">
        <f>(D189+E189)*(1000/Volumes!D186)*1000000</f>
        <v>0.55918360685020463</v>
      </c>
      <c r="G189">
        <f t="shared" si="8"/>
        <v>1.9619252504745853E-3</v>
      </c>
      <c r="H189" s="28">
        <f t="shared" si="9"/>
        <v>285.01779398320065</v>
      </c>
      <c r="I189" s="25">
        <f t="shared" si="10"/>
        <v>150.00936525431615</v>
      </c>
      <c r="J189" s="28">
        <f t="shared" si="11"/>
        <v>6.7157951182709574</v>
      </c>
    </row>
    <row r="190" spans="1:10" x14ac:dyDescent="0.15">
      <c r="A190" t="s">
        <v>276</v>
      </c>
      <c r="B190">
        <f>'C-speciation'!F192</f>
        <v>280.78694791666663</v>
      </c>
      <c r="C190" s="48" t="s">
        <v>93</v>
      </c>
      <c r="D190" s="6" t="e">
        <f>(((C190/1000000)*((0.0013))*Volumes!B187/1000)*((Volumes!B187+Volumes!C187)/Volumes!C187))</f>
        <v>#VALUE!</v>
      </c>
      <c r="E190" s="6" t="e">
        <f>(((Volumes!B187+Volumes!C187)/Volumes!C187)*(Volumes!C187/1000*(C190/1000000)))/(0.082057*308.15)</f>
        <v>#VALUE!</v>
      </c>
      <c r="F190" s="4" t="e">
        <f>(D190+E190)*(1000/Volumes!D187)*1000000</f>
        <v>#VALUE!</v>
      </c>
      <c r="G190">
        <f t="shared" si="8"/>
        <v>2.0593196389409574E-3</v>
      </c>
      <c r="H190" s="28" t="e">
        <f t="shared" si="9"/>
        <v>#VALUE!</v>
      </c>
      <c r="I190" s="25" t="e">
        <f t="shared" si="10"/>
        <v>#VALUE!</v>
      </c>
      <c r="J190" s="28" t="e">
        <f t="shared" si="11"/>
        <v>#VALUE!</v>
      </c>
    </row>
    <row r="191" spans="1:10" x14ac:dyDescent="0.15">
      <c r="A191" t="s">
        <v>277</v>
      </c>
      <c r="B191">
        <f>'C-speciation'!F193</f>
        <v>275.14999999999998</v>
      </c>
      <c r="C191" s="48" t="s">
        <v>93</v>
      </c>
      <c r="D191" s="6" t="e">
        <f>(((C191/1000000)*((0.0013))*Volumes!B188/1000)*((Volumes!B188+Volumes!C188)/Volumes!C188))</f>
        <v>#VALUE!</v>
      </c>
      <c r="E191" s="6" t="e">
        <f>(((Volumes!B188+Volumes!C188)/Volumes!C188)*(Volumes!C188/1000*(C191/1000000)))/(0.082057*308.15)</f>
        <v>#VALUE!</v>
      </c>
      <c r="F191" s="4" t="e">
        <f>(D191+E191)*(1000/Volumes!D188)*1000000</f>
        <v>#VALUE!</v>
      </c>
      <c r="G191">
        <f t="shared" si="8"/>
        <v>2.4114848528124858E-3</v>
      </c>
      <c r="H191" s="28" t="e">
        <f t="shared" si="9"/>
        <v>#VALUE!</v>
      </c>
      <c r="I191" s="25" t="e">
        <f t="shared" si="10"/>
        <v>#VALUE!</v>
      </c>
      <c r="J191" s="28" t="e">
        <f t="shared" si="11"/>
        <v>#VALUE!</v>
      </c>
    </row>
    <row r="192" spans="1:10" x14ac:dyDescent="0.15">
      <c r="A192" t="s">
        <v>278</v>
      </c>
      <c r="B192">
        <f>'C-speciation'!F194</f>
        <v>275.14999999999998</v>
      </c>
      <c r="C192" s="48" t="s">
        <v>93</v>
      </c>
      <c r="D192" s="6" t="e">
        <f>(((C192/1000000)*((0.0013))*Volumes!B189/1000)*((Volumes!B189+Volumes!C189)/Volumes!C189))</f>
        <v>#VALUE!</v>
      </c>
      <c r="E192" s="6" t="e">
        <f>(((Volumes!B189+Volumes!C189)/Volumes!C189)*(Volumes!C189/1000*(C192/1000000)))/(0.082057*308.15)</f>
        <v>#VALUE!</v>
      </c>
      <c r="F192" s="4" t="e">
        <f>(D192+E192)*(1000/Volumes!D189)*1000000</f>
        <v>#VALUE!</v>
      </c>
      <c r="G192">
        <f t="shared" si="8"/>
        <v>2.4114848528124858E-3</v>
      </c>
      <c r="H192" s="28" t="e">
        <f t="shared" si="9"/>
        <v>#VALUE!</v>
      </c>
      <c r="I192" s="25" t="e">
        <f t="shared" si="10"/>
        <v>#VALUE!</v>
      </c>
      <c r="J192" s="28" t="e">
        <f t="shared" si="11"/>
        <v>#VALUE!</v>
      </c>
    </row>
    <row r="193" spans="1:10" x14ac:dyDescent="0.15">
      <c r="A193" t="s">
        <v>279</v>
      </c>
      <c r="B193">
        <f>'C-speciation'!F195</f>
        <v>275.14999999999998</v>
      </c>
      <c r="C193" s="48">
        <v>0.85</v>
      </c>
      <c r="D193" s="6">
        <f>(((C193/1000000)*((0.0013))*Volumes!B190/1000)*((Volumes!B190+Volumes!C190)/Volumes!C190))</f>
        <v>7.3261499999999994E-12</v>
      </c>
      <c r="E193" s="6">
        <f>(((Volumes!B190+Volumes!C190)/Volumes!C190)*(Volumes!C190/1000*(C193/1000000)))/(0.082057*308.15)</f>
        <v>7.4290518969026124E-10</v>
      </c>
      <c r="F193" s="4">
        <f>(D193+E193)*(1000/Volumes!D190)*1000000</f>
        <v>0.15004626793805226</v>
      </c>
      <c r="G193">
        <f t="shared" si="8"/>
        <v>2.4114848528124858E-3</v>
      </c>
      <c r="H193" s="28">
        <f t="shared" si="9"/>
        <v>62.221526194972817</v>
      </c>
      <c r="I193" s="25">
        <f t="shared" si="10"/>
        <v>32.748171681564642</v>
      </c>
      <c r="J193" s="28">
        <f t="shared" si="11"/>
        <v>1.8020556779360075</v>
      </c>
    </row>
    <row r="194" spans="1:10" x14ac:dyDescent="0.15">
      <c r="A194" t="s">
        <v>280</v>
      </c>
      <c r="B194">
        <f>'C-speciation'!F196</f>
        <v>282.65781249999998</v>
      </c>
      <c r="C194" s="48">
        <v>7.43</v>
      </c>
      <c r="D194" s="6">
        <f>(((C194/1000000)*((0.0013))*Volumes!B191/1000)*((Volumes!B191+Volumes!C191)/Volumes!C191))</f>
        <v>6.4039169999999992E-11</v>
      </c>
      <c r="E194" s="6">
        <f>(((Volumes!B191+Volumes!C191)/Volumes!C191)*(Volumes!C191/1000*(C194/1000000)))/(0.082057*308.15)</f>
        <v>6.4938653639984009E-9</v>
      </c>
      <c r="F194" s="4">
        <f>(D194+E194)*(1000/Volumes!D191)*1000000</f>
        <v>1.3115809067996802</v>
      </c>
      <c r="G194">
        <f t="shared" si="8"/>
        <v>1.9619252504745853E-3</v>
      </c>
      <c r="H194" s="28">
        <f t="shared" si="9"/>
        <v>668.51726714991401</v>
      </c>
      <c r="I194" s="25">
        <f t="shared" si="10"/>
        <v>351.85119323679686</v>
      </c>
      <c r="J194" s="28">
        <f t="shared" si="11"/>
        <v>15.752086690664159</v>
      </c>
    </row>
    <row r="195" spans="1:10" x14ac:dyDescent="0.15">
      <c r="A195" t="s">
        <v>281</v>
      </c>
      <c r="B195">
        <f>'C-speciation'!F197</f>
        <v>286.3803125</v>
      </c>
      <c r="C195" s="48">
        <v>4.5810427811782404</v>
      </c>
      <c r="D195" s="6">
        <f>(((C195/1000000)*((0.0013))*Volumes!B192/1000)*((Volumes!B192+Volumes!C192)/Volumes!C192))</f>
        <v>3.9484007730975244E-11</v>
      </c>
      <c r="E195" s="6">
        <f>(((Volumes!B192+Volumes!C192)/Volumes!C192)*(Volumes!C192/1000*(C195/1000000)))/(0.082057*308.15)</f>
        <v>4.0038593603887322E-9</v>
      </c>
      <c r="F195" s="4">
        <f>(D195+E195)*(1000/Volumes!D192)*1000000</f>
        <v>0.80866867362394157</v>
      </c>
      <c r="G195">
        <f t="shared" si="8"/>
        <v>1.7915755401175847E-3</v>
      </c>
      <c r="H195" s="28">
        <f t="shared" si="9"/>
        <v>451.3729147981486</v>
      </c>
      <c r="I195" s="25">
        <f t="shared" si="10"/>
        <v>237.5646919990256</v>
      </c>
      <c r="J195" s="28">
        <f t="shared" si="11"/>
        <v>9.7121107702235374</v>
      </c>
    </row>
    <row r="196" spans="1:10" x14ac:dyDescent="0.15">
      <c r="A196" t="s">
        <v>282</v>
      </c>
      <c r="B196">
        <f>'C-speciation'!F198</f>
        <v>275.14999999999998</v>
      </c>
      <c r="C196" s="48" t="s">
        <v>93</v>
      </c>
      <c r="D196" s="6" t="e">
        <f>(((C196/1000000)*((0.0013))*Volumes!B193/1000)*((Volumes!B193+Volumes!C193)/Volumes!C193))</f>
        <v>#VALUE!</v>
      </c>
      <c r="E196" s="6" t="e">
        <f>(((Volumes!B193+Volumes!C193)/Volumes!C193)*(Volumes!C193/1000*(C196/1000000)))/(0.082057*308.15)</f>
        <v>#VALUE!</v>
      </c>
      <c r="F196" s="4" t="e">
        <f>(D196+E196)*(1000/Volumes!D193)*1000000</f>
        <v>#VALUE!</v>
      </c>
      <c r="G196">
        <f t="shared" si="8"/>
        <v>2.4114848528124858E-3</v>
      </c>
      <c r="H196" s="28" t="e">
        <f t="shared" si="9"/>
        <v>#VALUE!</v>
      </c>
      <c r="I196" s="25" t="e">
        <f t="shared" si="10"/>
        <v>#VALUE!</v>
      </c>
      <c r="J196" s="28" t="e">
        <f t="shared" si="11"/>
        <v>#VALUE!</v>
      </c>
    </row>
    <row r="197" spans="1:10" x14ac:dyDescent="0.15">
      <c r="A197" t="s">
        <v>283</v>
      </c>
      <c r="B197">
        <f>'C-speciation'!F199</f>
        <v>286.24843749999997</v>
      </c>
      <c r="C197" s="48">
        <v>2.71</v>
      </c>
      <c r="D197" s="6">
        <f>(((C197/1000000)*((0.0013))*Volumes!B194/1000)*((Volumes!B194+Volumes!C194)/Volumes!C194))</f>
        <v>2.3357489999999999E-11</v>
      </c>
      <c r="E197" s="6">
        <f>(((Volumes!B194+Volumes!C194)/Volumes!C194)*(Volumes!C194/1000*(C197/1000000)))/(0.082057*308.15)</f>
        <v>2.3685565459536563E-9</v>
      </c>
      <c r="F197" s="4">
        <f>(D197+E197)*(1000/Volumes!D194)*1000000</f>
        <v>0.47838280719073123</v>
      </c>
      <c r="G197">
        <f t="shared" si="8"/>
        <v>1.7971274333954286E-3</v>
      </c>
      <c r="H197" s="28">
        <f t="shared" si="9"/>
        <v>266.19303578650056</v>
      </c>
      <c r="I197" s="25">
        <f t="shared" si="10"/>
        <v>140.10159778236871</v>
      </c>
      <c r="J197" s="28">
        <f t="shared" si="11"/>
        <v>5.7453775143606816</v>
      </c>
    </row>
    <row r="198" spans="1:10" x14ac:dyDescent="0.15">
      <c r="A198" t="s">
        <v>284</v>
      </c>
      <c r="B198">
        <f>'C-speciation'!F200</f>
        <v>286.3803125</v>
      </c>
      <c r="C198" s="48">
        <v>3.01</v>
      </c>
      <c r="D198" s="6">
        <f>(((C198/1000000)*((0.0013))*Volumes!B195/1000)*((Volumes!B195+Volumes!C195)/Volumes!C195))</f>
        <v>2.5943190000000003E-11</v>
      </c>
      <c r="E198" s="6">
        <f>(((Volumes!B195+Volumes!C195)/Volumes!C195)*(Volumes!C195/1000*(C198/1000000)))/(0.082057*308.15)</f>
        <v>2.6307583776090427E-9</v>
      </c>
      <c r="F198" s="4">
        <f>(D198+E198)*(1000/Volumes!D195)*1000000</f>
        <v>0.53134031352180855</v>
      </c>
      <c r="G198">
        <f t="shared" ref="G198:G234" si="12">EXP(-68.8862+(101.4956*(100/B198))+(28.7314*LN(B198/100)))/22.4</f>
        <v>1.7915755401175847E-3</v>
      </c>
      <c r="H198" s="28">
        <f t="shared" ref="H198:H234" si="13">F198/G198</f>
        <v>296.57711976070829</v>
      </c>
      <c r="I198" s="25">
        <f t="shared" ref="I198:I234" si="14">H198/1.9</f>
        <v>156.09322092668859</v>
      </c>
      <c r="J198" s="28">
        <f t="shared" ref="J198:J234" si="15">F198*12.01</f>
        <v>6.3813971653969208</v>
      </c>
    </row>
    <row r="199" spans="1:10" x14ac:dyDescent="0.15">
      <c r="A199" t="s">
        <v>285</v>
      </c>
      <c r="B199">
        <f>'C-speciation'!F201</f>
        <v>275.14999999999998</v>
      </c>
      <c r="C199" s="48">
        <v>0.66115358900143295</v>
      </c>
      <c r="D199" s="6">
        <f>(((C199/1000000)*((0.0013))*Volumes!B196/1000)*((Volumes!B196+Volumes!C196)/Volumes!C196))</f>
        <v>5.6984827836033498E-12</v>
      </c>
      <c r="E199" s="6">
        <f>(((Volumes!B196+Volumes!C196)/Volumes!C196)*(Volumes!C196/1000*(C199/1000000)))/(0.082057*308.15)</f>
        <v>5.778522734723607E-10</v>
      </c>
      <c r="F199" s="4">
        <f>(D199+E199)*(1000/Volumes!D196)*1000000</f>
        <v>0.1167101512511928</v>
      </c>
      <c r="G199">
        <f t="shared" si="12"/>
        <v>2.4114848528124858E-3</v>
      </c>
      <c r="H199" s="28">
        <f t="shared" si="13"/>
        <v>48.397629831709352</v>
      </c>
      <c r="I199" s="25">
        <f t="shared" si="14"/>
        <v>25.472436753531237</v>
      </c>
      <c r="J199" s="28">
        <f t="shared" si="15"/>
        <v>1.4016889165268256</v>
      </c>
    </row>
    <row r="200" spans="1:10" x14ac:dyDescent="0.15">
      <c r="A200" t="s">
        <v>286</v>
      </c>
      <c r="B200">
        <f>'C-speciation'!F202</f>
        <v>275.14999999999998</v>
      </c>
      <c r="C200" s="48" t="s">
        <v>93</v>
      </c>
      <c r="D200" s="6" t="e">
        <f>(((C200/1000000)*((0.0013))*Volumes!B197/1000)*((Volumes!B197+Volumes!C197)/Volumes!C197))</f>
        <v>#VALUE!</v>
      </c>
      <c r="E200" s="6" t="e">
        <f>(((Volumes!B197+Volumes!C197)/Volumes!C197)*(Volumes!C197/1000*(C200/1000000)))/(0.082057*308.15)</f>
        <v>#VALUE!</v>
      </c>
      <c r="F200" s="4" t="e">
        <f>(D200+E200)*(1000/Volumes!D197)*1000000</f>
        <v>#VALUE!</v>
      </c>
      <c r="G200">
        <f t="shared" si="12"/>
        <v>2.4114848528124858E-3</v>
      </c>
      <c r="H200" s="28" t="e">
        <f t="shared" si="13"/>
        <v>#VALUE!</v>
      </c>
      <c r="I200" s="25" t="e">
        <f t="shared" si="14"/>
        <v>#VALUE!</v>
      </c>
      <c r="J200" s="28" t="e">
        <f t="shared" si="15"/>
        <v>#VALUE!</v>
      </c>
    </row>
    <row r="201" spans="1:10" x14ac:dyDescent="0.15">
      <c r="A201" t="s">
        <v>287</v>
      </c>
      <c r="B201">
        <f>'C-speciation'!F203</f>
        <v>275.14999999999998</v>
      </c>
      <c r="C201" s="48" t="s">
        <v>93</v>
      </c>
      <c r="D201" s="6" t="e">
        <f>(((C201/1000000)*((0.0013))*Volumes!B198/1000)*((Volumes!B198+Volumes!C198)/Volumes!C198))</f>
        <v>#VALUE!</v>
      </c>
      <c r="E201" s="6" t="e">
        <f>(((Volumes!B198+Volumes!C198)/Volumes!C198)*(Volumes!C198/1000*(C201/1000000)))/(0.082057*308.15)</f>
        <v>#VALUE!</v>
      </c>
      <c r="F201" s="4" t="e">
        <f>(D201+E201)*(1000/Volumes!D198)*1000000</f>
        <v>#VALUE!</v>
      </c>
      <c r="G201">
        <f t="shared" si="12"/>
        <v>2.4114848528124858E-3</v>
      </c>
      <c r="H201" s="28" t="e">
        <f t="shared" si="13"/>
        <v>#VALUE!</v>
      </c>
      <c r="I201" s="25" t="e">
        <f t="shared" si="14"/>
        <v>#VALUE!</v>
      </c>
      <c r="J201" s="28" t="e">
        <f t="shared" si="15"/>
        <v>#VALUE!</v>
      </c>
    </row>
    <row r="202" spans="1:10" x14ac:dyDescent="0.15">
      <c r="A202" t="s">
        <v>288</v>
      </c>
      <c r="B202">
        <f>'C-speciation'!F204</f>
        <v>275.14999999999998</v>
      </c>
      <c r="C202" s="48">
        <v>0.53584189046474395</v>
      </c>
      <c r="D202" s="6">
        <f>(((C202/1000000)*((0.0013))*Volumes!B199/1000)*((Volumes!B199+Volumes!C199)/Volumes!C199))</f>
        <v>4.6184212539156274E-12</v>
      </c>
      <c r="E202" s="6">
        <f>(((Volumes!B199+Volumes!C199)/Volumes!C199)*(Volumes!C199/1000*(C202/1000000)))/(0.082057*308.15)</f>
        <v>4.6832908385846918E-10</v>
      </c>
      <c r="F202" s="4">
        <f>(D202+E202)*(1000/Volumes!D199)*1000000</f>
        <v>9.4589501022476957E-2</v>
      </c>
      <c r="G202">
        <f t="shared" si="12"/>
        <v>2.4114848528124858E-3</v>
      </c>
      <c r="H202" s="28">
        <f t="shared" si="13"/>
        <v>39.224588498724493</v>
      </c>
      <c r="I202" s="25">
        <f t="shared" si="14"/>
        <v>20.644520262486576</v>
      </c>
      <c r="J202" s="28">
        <f t="shared" si="15"/>
        <v>1.1360199072799482</v>
      </c>
    </row>
    <row r="203" spans="1:10" x14ac:dyDescent="0.15">
      <c r="A203" t="s">
        <v>289</v>
      </c>
      <c r="B203">
        <f>'C-speciation'!F205</f>
        <v>280.34574999999995</v>
      </c>
      <c r="C203" s="48">
        <v>0.87</v>
      </c>
      <c r="D203" s="6">
        <f>(((C203/1000000)*((0.0013))*Volumes!B200/1000)*((Volumes!B200+Volumes!C200)/Volumes!C200))</f>
        <v>7.4985299999999996E-12</v>
      </c>
      <c r="E203" s="6">
        <f>(((Volumes!B200+Volumes!C200)/Volumes!C200)*(Volumes!C200/1000*(C203/1000000)))/(0.082057*308.15)</f>
        <v>7.603853118006204E-10</v>
      </c>
      <c r="F203" s="4">
        <f>(D203+E203)*(1000/Volumes!D200)*1000000</f>
        <v>0.15357676836012407</v>
      </c>
      <c r="G203">
        <f t="shared" si="12"/>
        <v>2.0835670289238105E-3</v>
      </c>
      <c r="H203" s="28">
        <f t="shared" si="13"/>
        <v>73.708580635127674</v>
      </c>
      <c r="I203" s="25">
        <f t="shared" si="14"/>
        <v>38.793989807961935</v>
      </c>
      <c r="J203" s="28">
        <f t="shared" si="15"/>
        <v>1.8444569880050901</v>
      </c>
    </row>
    <row r="204" spans="1:10" x14ac:dyDescent="0.15">
      <c r="A204" t="s">
        <v>290</v>
      </c>
      <c r="B204">
        <f>'C-speciation'!F206</f>
        <v>275.14999999999998</v>
      </c>
      <c r="C204" s="48">
        <v>0.62</v>
      </c>
      <c r="D204" s="6">
        <f>(((C204/1000000)*((0.0013))*Volumes!B201/1000)*((Volumes!B201+Volumes!C201)/Volumes!C201))</f>
        <v>5.3437799999999989E-12</v>
      </c>
      <c r="E204" s="6">
        <f>(((Volumes!B201+Volumes!C201)/Volumes!C201)*(Volumes!C201/1000*(C204/1000000)))/(0.082057*308.15)</f>
        <v>5.4188378542113171E-10</v>
      </c>
      <c r="F204" s="4">
        <f>(D204+E204)*(1000/Volumes!D201)*1000000</f>
        <v>0.10944551308422634</v>
      </c>
      <c r="G204">
        <f t="shared" si="12"/>
        <v>2.4114848528124858E-3</v>
      </c>
      <c r="H204" s="28">
        <f t="shared" si="13"/>
        <v>45.385113224568407</v>
      </c>
      <c r="I204" s="25">
        <f t="shared" si="14"/>
        <v>23.886901697141269</v>
      </c>
      <c r="J204" s="28">
        <f t="shared" si="15"/>
        <v>1.3144406121415584</v>
      </c>
    </row>
    <row r="205" spans="1:10" x14ac:dyDescent="0.15">
      <c r="A205" t="s">
        <v>291</v>
      </c>
      <c r="B205">
        <f>'C-speciation'!F207</f>
        <v>283.91010416666666</v>
      </c>
      <c r="C205" s="48">
        <v>3.55</v>
      </c>
      <c r="D205" s="6">
        <f>(((C205/1000000)*((0.0013))*Volumes!B202/1000)*((Volumes!B202+Volumes!C202)/Volumes!C202))</f>
        <v>3.0597449999999998E-11</v>
      </c>
      <c r="E205" s="6">
        <f>(((Volumes!B202+Volumes!C202)/Volumes!C202)*(Volumes!C202/1000*(C205/1000000)))/(0.082057*308.15)</f>
        <v>3.1027216745887381E-9</v>
      </c>
      <c r="F205" s="4">
        <f>(D205+E205)*(1000/Volumes!D202)*1000000</f>
        <v>0.62666382491774764</v>
      </c>
      <c r="G205">
        <f t="shared" si="12"/>
        <v>1.9013294018736368E-3</v>
      </c>
      <c r="H205" s="28">
        <f t="shared" si="13"/>
        <v>329.59245478464231</v>
      </c>
      <c r="I205" s="25">
        <f t="shared" si="14"/>
        <v>173.4697130445486</v>
      </c>
      <c r="J205" s="28">
        <f t="shared" si="15"/>
        <v>7.5262325372621488</v>
      </c>
    </row>
    <row r="206" spans="1:10" x14ac:dyDescent="0.15">
      <c r="A206" t="s">
        <v>292</v>
      </c>
      <c r="B206">
        <f>'C-speciation'!F208</f>
        <v>285.51458333333329</v>
      </c>
      <c r="C206" s="48">
        <v>4.1725487758015802</v>
      </c>
      <c r="D206" s="6">
        <f>(((C206/1000000)*((0.0013))*Volumes!B203/1000)*((Volumes!B203+Volumes!C203)/Volumes!C203))</f>
        <v>3.5963197898633813E-11</v>
      </c>
      <c r="E206" s="6">
        <f>(((Volumes!B203+Volumes!C203)/Volumes!C203)*(Volumes!C203/1000*(C206/1000000)))/(0.082057*308.15)</f>
        <v>3.6468331056220473E-9</v>
      </c>
      <c r="F206" s="4">
        <f>(D206+E206)*(1000/Volumes!D203)*1000000</f>
        <v>0.73655926070413624</v>
      </c>
      <c r="G206">
        <f t="shared" si="12"/>
        <v>1.8286379867595032E-3</v>
      </c>
      <c r="H206" s="28">
        <f t="shared" si="13"/>
        <v>402.79118449758323</v>
      </c>
      <c r="I206" s="25">
        <f t="shared" si="14"/>
        <v>211.99536026188593</v>
      </c>
      <c r="J206" s="28">
        <f t="shared" si="15"/>
        <v>8.8460767210566758</v>
      </c>
    </row>
    <row r="207" spans="1:10" x14ac:dyDescent="0.15">
      <c r="A207" t="s">
        <v>293</v>
      </c>
      <c r="B207">
        <f>'C-speciation'!F209</f>
        <v>275.14999999999998</v>
      </c>
      <c r="C207" s="48">
        <v>0.91</v>
      </c>
      <c r="D207" s="6">
        <f>(((C207/1000000)*((0.0013))*Volumes!B204/1000)*((Volumes!B204+Volumes!C204)/Volumes!C204))</f>
        <v>7.8432899999999998E-12</v>
      </c>
      <c r="E207" s="6">
        <f>(((Volumes!B204+Volumes!C204)/Volumes!C204)*(Volumes!C204/1000*(C207/1000000)))/(0.082057*308.15)</f>
        <v>7.9534555602133862E-10</v>
      </c>
      <c r="F207" s="4">
        <f>(D207+E207)*(1000/Volumes!D204)*1000000</f>
        <v>0.16063776920426773</v>
      </c>
      <c r="G207">
        <f t="shared" si="12"/>
        <v>2.4114848528124858E-3</v>
      </c>
      <c r="H207" s="28">
        <f t="shared" si="13"/>
        <v>66.613633926382676</v>
      </c>
      <c r="I207" s="25">
        <f t="shared" si="14"/>
        <v>35.059807329675095</v>
      </c>
      <c r="J207" s="28">
        <f t="shared" si="15"/>
        <v>1.9292596081432554</v>
      </c>
    </row>
    <row r="208" spans="1:10" x14ac:dyDescent="0.15">
      <c r="A208" t="s">
        <v>294</v>
      </c>
      <c r="B208">
        <f>'C-speciation'!F210</f>
        <v>282.9289583333333</v>
      </c>
      <c r="C208" s="48">
        <v>4.8099999999999996</v>
      </c>
      <c r="D208" s="6">
        <f>(((C208/1000000)*((0.0013))*Volumes!B205/1000)*((Volumes!B205+Volumes!C205)/Volumes!C205))</f>
        <v>4.1457389999999991E-11</v>
      </c>
      <c r="E208" s="6">
        <f>(((Volumes!B205+Volumes!C205)/Volumes!C205)*(Volumes!C205/1000*(C208/1000000)))/(0.082057*308.15)</f>
        <v>4.2039693675413601E-9</v>
      </c>
      <c r="F208" s="4">
        <f>(D208+E208)*(1000/Volumes!D205)*1000000</f>
        <v>0.84908535150827191</v>
      </c>
      <c r="G208">
        <f t="shared" si="12"/>
        <v>1.9485044769964675E-3</v>
      </c>
      <c r="H208" s="28">
        <f t="shared" si="13"/>
        <v>435.76258691337421</v>
      </c>
      <c r="I208" s="25">
        <f t="shared" si="14"/>
        <v>229.34872995440747</v>
      </c>
      <c r="J208" s="28">
        <f t="shared" si="15"/>
        <v>10.197515071614346</v>
      </c>
    </row>
    <row r="209" spans="1:10" x14ac:dyDescent="0.15">
      <c r="A209" t="s">
        <v>295</v>
      </c>
      <c r="B209">
        <f>'C-speciation'!F211</f>
        <v>280.34574999999995</v>
      </c>
      <c r="C209" s="48" t="s">
        <v>93</v>
      </c>
      <c r="D209" s="6" t="e">
        <f>(((C209/1000000)*((0.0013))*Volumes!B206/1000)*((Volumes!B206+Volumes!C206)/Volumes!C206))</f>
        <v>#VALUE!</v>
      </c>
      <c r="E209" s="6" t="e">
        <f>(((Volumes!B206+Volumes!C206)/Volumes!C206)*(Volumes!C206/1000*(C209/1000000)))/(0.082057*308.15)</f>
        <v>#VALUE!</v>
      </c>
      <c r="F209" s="4" t="e">
        <f>(D209+E209)*(1000/Volumes!D206)*1000000</f>
        <v>#VALUE!</v>
      </c>
      <c r="G209">
        <f t="shared" si="12"/>
        <v>2.0835670289238105E-3</v>
      </c>
      <c r="H209" s="28" t="e">
        <f t="shared" si="13"/>
        <v>#VALUE!</v>
      </c>
      <c r="I209" s="25" t="e">
        <f t="shared" si="14"/>
        <v>#VALUE!</v>
      </c>
      <c r="J209" s="28" t="e">
        <f t="shared" si="15"/>
        <v>#VALUE!</v>
      </c>
    </row>
    <row r="210" spans="1:10" x14ac:dyDescent="0.15">
      <c r="A210" t="s">
        <v>296</v>
      </c>
      <c r="B210">
        <f>'C-speciation'!F212</f>
        <v>276.49512499999997</v>
      </c>
      <c r="C210" s="48" t="s">
        <v>93</v>
      </c>
      <c r="D210" s="6" t="e">
        <f>(((C210/1000000)*((0.0013))*Volumes!B207/1000)*((Volumes!B207+Volumes!C207)/Volumes!C207))</f>
        <v>#VALUE!</v>
      </c>
      <c r="E210" s="6" t="e">
        <f>(((Volumes!B207+Volumes!C207)/Volumes!C207)*(Volumes!C207/1000*(C210/1000000)))/(0.082057*308.15)</f>
        <v>#VALUE!</v>
      </c>
      <c r="F210" s="4" t="e">
        <f>(D210+E210)*(1000/Volumes!D207)*1000000</f>
        <v>#VALUE!</v>
      </c>
      <c r="G210">
        <f t="shared" si="12"/>
        <v>2.318465836493411E-3</v>
      </c>
      <c r="H210" s="28" t="e">
        <f t="shared" si="13"/>
        <v>#VALUE!</v>
      </c>
      <c r="I210" s="25" t="e">
        <f t="shared" si="14"/>
        <v>#VALUE!</v>
      </c>
      <c r="J210" s="28" t="e">
        <f t="shared" si="15"/>
        <v>#VALUE!</v>
      </c>
    </row>
    <row r="211" spans="1:10" x14ac:dyDescent="0.15">
      <c r="A211" t="s">
        <v>297</v>
      </c>
      <c r="B211">
        <f>'C-speciation'!F213</f>
        <v>275.14999999999998</v>
      </c>
      <c r="C211" s="48">
        <v>0.82</v>
      </c>
      <c r="D211" s="6">
        <f>(((C211/1000000)*((0.0013))*Volumes!B208/1000)*((Volumes!B208+Volumes!C208)/Volumes!C208))</f>
        <v>7.0675799999999976E-12</v>
      </c>
      <c r="E211" s="6">
        <f>(((Volumes!B208+Volumes!C208)/Volumes!C208)*(Volumes!C208/1000*(C211/1000000)))/(0.082057*308.15)</f>
        <v>7.166850065247226E-10</v>
      </c>
      <c r="F211" s="4">
        <f>(D211+E211)*(1000/Volumes!D208)*1000000</f>
        <v>0.14475051730494454</v>
      </c>
      <c r="G211">
        <f t="shared" si="12"/>
        <v>2.4114848528124858E-3</v>
      </c>
      <c r="H211" s="28">
        <f t="shared" si="13"/>
        <v>60.025472329267899</v>
      </c>
      <c r="I211" s="25">
        <f t="shared" si="14"/>
        <v>31.592353857509423</v>
      </c>
      <c r="J211" s="28">
        <f t="shared" si="15"/>
        <v>1.7384537128323838</v>
      </c>
    </row>
    <row r="212" spans="1:10" x14ac:dyDescent="0.15">
      <c r="A212" t="s">
        <v>298</v>
      </c>
      <c r="B212">
        <f>'C-speciation'!F214</f>
        <v>284.7663541666667</v>
      </c>
      <c r="C212" s="48">
        <v>0.92644965584441497</v>
      </c>
      <c r="D212" s="6">
        <f>(((C212/1000000)*((0.0013))*Volumes!B209/1000)*((Volumes!B209+Volumes!C209)/Volumes!C209))</f>
        <v>7.9850695837230115E-12</v>
      </c>
      <c r="E212" s="6">
        <f>(((Volumes!B209+Volumes!C209)/Volumes!C209)*(Volumes!C209/1000*(C212/1000000)))/(0.082057*308.15)</f>
        <v>8.0972265566302622E-10</v>
      </c>
      <c r="F212" s="4">
        <f>(D212+E212)*(1000/Volumes!D209)*1000000</f>
        <v>0.16354154504934984</v>
      </c>
      <c r="G212">
        <f t="shared" si="12"/>
        <v>1.8618711590568159E-3</v>
      </c>
      <c r="H212" s="28">
        <f t="shared" si="13"/>
        <v>87.837197678166135</v>
      </c>
      <c r="I212" s="25">
        <f t="shared" si="14"/>
        <v>46.230104041140073</v>
      </c>
      <c r="J212" s="28">
        <f t="shared" si="15"/>
        <v>1.9641339560426916</v>
      </c>
    </row>
    <row r="213" spans="1:10" x14ac:dyDescent="0.15">
      <c r="A213" t="s">
        <v>299</v>
      </c>
      <c r="B213">
        <f>'C-speciation'!F215</f>
        <v>275.14999999999998</v>
      </c>
      <c r="C213" s="48" t="s">
        <v>93</v>
      </c>
      <c r="D213" s="6" t="e">
        <f>(((C213/1000000)*((0.0013))*Volumes!B210/1000)*((Volumes!B210+Volumes!C210)/Volumes!C210))</f>
        <v>#VALUE!</v>
      </c>
      <c r="E213" s="6" t="e">
        <f>(((Volumes!B210+Volumes!C210)/Volumes!C210)*(Volumes!C210/1000*(C213/1000000)))/(0.082057*308.15)</f>
        <v>#VALUE!</v>
      </c>
      <c r="F213" s="4" t="e">
        <f>(D213+E213)*(1000/Volumes!D210)*1000000</f>
        <v>#VALUE!</v>
      </c>
      <c r="G213">
        <f t="shared" si="12"/>
        <v>2.4114848528124858E-3</v>
      </c>
      <c r="H213" s="28" t="e">
        <f t="shared" si="13"/>
        <v>#VALUE!</v>
      </c>
      <c r="I213" s="25" t="e">
        <f t="shared" si="14"/>
        <v>#VALUE!</v>
      </c>
      <c r="J213" s="28" t="e">
        <f t="shared" si="15"/>
        <v>#VALUE!</v>
      </c>
    </row>
    <row r="214" spans="1:10" x14ac:dyDescent="0.15">
      <c r="A214" t="s">
        <v>300</v>
      </c>
      <c r="B214">
        <f>'C-speciation'!F216</f>
        <v>275.14999999999998</v>
      </c>
      <c r="C214" s="48" t="s">
        <v>93</v>
      </c>
      <c r="D214" s="6" t="e">
        <f>(((C214/1000000)*((0.0013))*Volumes!B211/1000)*((Volumes!B211+Volumes!C211)/Volumes!C211))</f>
        <v>#VALUE!</v>
      </c>
      <c r="E214" s="6" t="e">
        <f>(((Volumes!B211+Volumes!C211)/Volumes!C211)*(Volumes!C211/1000*(C214/1000000)))/(0.082057*308.15)</f>
        <v>#VALUE!</v>
      </c>
      <c r="F214" s="4" t="e">
        <f>(D214+E214)*(1000/Volumes!D211)*1000000</f>
        <v>#VALUE!</v>
      </c>
      <c r="G214">
        <f t="shared" si="12"/>
        <v>2.4114848528124858E-3</v>
      </c>
      <c r="H214" s="28" t="e">
        <f t="shared" si="13"/>
        <v>#VALUE!</v>
      </c>
      <c r="I214" s="25" t="e">
        <f t="shared" si="14"/>
        <v>#VALUE!</v>
      </c>
      <c r="J214" s="28" t="e">
        <f t="shared" si="15"/>
        <v>#VALUE!</v>
      </c>
    </row>
    <row r="215" spans="1:10" x14ac:dyDescent="0.15">
      <c r="A215" t="s">
        <v>301</v>
      </c>
      <c r="B215">
        <f>'C-speciation'!F217</f>
        <v>281.38429166666663</v>
      </c>
      <c r="C215" s="48">
        <v>6.61</v>
      </c>
      <c r="D215" s="6">
        <f>(((C215/1000000)*((0.0013))*Volumes!B212/1000)*((Volumes!B212+Volumes!C212)/Volumes!C212))</f>
        <v>5.6971589999999992E-11</v>
      </c>
      <c r="E215" s="6">
        <f>(((Volumes!B212+Volumes!C212)/Volumes!C212)*(Volumes!C212/1000*(C215/1000000)))/(0.082057*308.15)</f>
        <v>5.7771803574736792E-9</v>
      </c>
      <c r="F215" s="4">
        <f>(D215+E215)*(1000/Volumes!D212)*1000000</f>
        <v>1.1668303894947358</v>
      </c>
      <c r="G215">
        <f t="shared" si="12"/>
        <v>2.0272869892290629E-3</v>
      </c>
      <c r="H215" s="28">
        <f t="shared" si="13"/>
        <v>575.56251073187138</v>
      </c>
      <c r="I215" s="25">
        <f t="shared" si="14"/>
        <v>302.92763722730075</v>
      </c>
      <c r="J215" s="28">
        <f t="shared" si="15"/>
        <v>14.013632977831778</v>
      </c>
    </row>
    <row r="216" spans="1:10" x14ac:dyDescent="0.15">
      <c r="A216" t="s">
        <v>302</v>
      </c>
      <c r="B216">
        <f>'C-speciation'!F218</f>
        <v>275.14999999999998</v>
      </c>
      <c r="C216" s="48" t="s">
        <v>93</v>
      </c>
      <c r="D216" s="6" t="e">
        <f>(((C216/1000000)*((0.0013))*Volumes!B213/1000)*((Volumes!B213+Volumes!C213)/Volumes!C213))</f>
        <v>#VALUE!</v>
      </c>
      <c r="E216" s="6" t="e">
        <f>(((Volumes!B213+Volumes!C213)/Volumes!C213)*(Volumes!C213/1000*(C216/1000000)))/(0.082057*308.15)</f>
        <v>#VALUE!</v>
      </c>
      <c r="F216" s="4" t="e">
        <f>(D216+E216)*(1000/Volumes!D213)*1000000</f>
        <v>#VALUE!</v>
      </c>
      <c r="G216">
        <f t="shared" si="12"/>
        <v>2.4114848528124858E-3</v>
      </c>
      <c r="H216" s="28" t="e">
        <f t="shared" si="13"/>
        <v>#VALUE!</v>
      </c>
      <c r="I216" s="25" t="e">
        <f t="shared" si="14"/>
        <v>#VALUE!</v>
      </c>
      <c r="J216" s="28" t="e">
        <f t="shared" si="15"/>
        <v>#VALUE!</v>
      </c>
    </row>
    <row r="217" spans="1:10" x14ac:dyDescent="0.15">
      <c r="A217" t="s">
        <v>303</v>
      </c>
      <c r="B217">
        <f>'C-speciation'!F219</f>
        <v>288.03625</v>
      </c>
      <c r="C217" s="48">
        <v>17.52</v>
      </c>
      <c r="D217" s="6">
        <f>(((C217/1000000)*((0.0013))*Volumes!B214/1000)*((Volumes!B214+Volumes!C214)/Volumes!C214))</f>
        <v>1.5100487999999997E-10</v>
      </c>
      <c r="E217" s="6">
        <f>(((Volumes!B214+Volumes!C214)/Volumes!C214)*(Volumes!C214/1000*(C217/1000000)))/(0.082057*308.15)</f>
        <v>1.5312586968674558E-8</v>
      </c>
      <c r="F217" s="4">
        <f>(D217+E217)*(1000/Volumes!D214)*1000000</f>
        <v>3.0927183697349112</v>
      </c>
      <c r="G217">
        <f t="shared" si="12"/>
        <v>1.7246067763071577E-3</v>
      </c>
      <c r="H217" s="28">
        <f t="shared" si="13"/>
        <v>1793.2890049042046</v>
      </c>
      <c r="I217" s="25">
        <f t="shared" si="14"/>
        <v>943.83631837063399</v>
      </c>
      <c r="J217" s="28">
        <f t="shared" si="15"/>
        <v>37.14354762051628</v>
      </c>
    </row>
    <row r="218" spans="1:10" x14ac:dyDescent="0.15">
      <c r="A218" t="s">
        <v>304</v>
      </c>
      <c r="B218">
        <f>'C-speciation'!F220</f>
        <v>285.31052083333327</v>
      </c>
      <c r="C218" s="48">
        <v>5.13</v>
      </c>
      <c r="D218" s="6">
        <f>(((C218/1000000)*((0.0013))*Volumes!B215/1000)*((Volumes!B215+Volumes!C215)/Volumes!C215))</f>
        <v>4.4215469999999993E-11</v>
      </c>
      <c r="E218" s="6">
        <f>(((Volumes!B215+Volumes!C215)/Volumes!C215)*(Volumes!C215/1000*(C218/1000000)))/(0.082057*308.15)</f>
        <v>4.4836513213071067E-9</v>
      </c>
      <c r="F218" s="4">
        <f>(D218+E218)*(1000/Volumes!D215)*1000000</f>
        <v>0.90557335826142138</v>
      </c>
      <c r="G218">
        <f t="shared" si="12"/>
        <v>1.8375890588631255E-3</v>
      </c>
      <c r="H218" s="28">
        <f t="shared" si="13"/>
        <v>492.80515352092868</v>
      </c>
      <c r="I218" s="25">
        <f t="shared" si="14"/>
        <v>259.37113343206772</v>
      </c>
      <c r="J218" s="28">
        <f t="shared" si="15"/>
        <v>10.87593603271967</v>
      </c>
    </row>
    <row r="219" spans="1:10" x14ac:dyDescent="0.15">
      <c r="A219" t="s">
        <v>305</v>
      </c>
      <c r="B219">
        <f>'C-speciation'!F221</f>
        <v>275.14999999999998</v>
      </c>
      <c r="C219" s="48" t="s">
        <v>93</v>
      </c>
      <c r="D219" s="6" t="e">
        <f>(((C219/1000000)*((0.0013))*Volumes!B216/1000)*((Volumes!B216+Volumes!C216)/Volumes!C216))</f>
        <v>#VALUE!</v>
      </c>
      <c r="E219" s="6" t="e">
        <f>(((Volumes!B216+Volumes!C216)/Volumes!C216)*(Volumes!C216/1000*(C219/1000000)))/(0.082057*308.15)</f>
        <v>#VALUE!</v>
      </c>
      <c r="F219" s="4" t="e">
        <f>(D219+E219)*(1000/Volumes!D216)*1000000</f>
        <v>#VALUE!</v>
      </c>
      <c r="G219">
        <f t="shared" si="12"/>
        <v>2.4114848528124858E-3</v>
      </c>
      <c r="H219" s="28" t="e">
        <f t="shared" si="13"/>
        <v>#VALUE!</v>
      </c>
      <c r="I219" s="25" t="e">
        <f t="shared" si="14"/>
        <v>#VALUE!</v>
      </c>
      <c r="J219" s="28" t="e">
        <f t="shared" si="15"/>
        <v>#VALUE!</v>
      </c>
    </row>
    <row r="220" spans="1:10" x14ac:dyDescent="0.15">
      <c r="A220" t="s">
        <v>306</v>
      </c>
      <c r="B220">
        <f>'C-speciation'!F222</f>
        <v>275.14999999999998</v>
      </c>
      <c r="C220" s="48" t="s">
        <v>93</v>
      </c>
      <c r="D220" s="6" t="e">
        <f>(((C220/1000000)*((0.0013))*Volumes!B217/1000)*((Volumes!B217+Volumes!C217)/Volumes!C217))</f>
        <v>#VALUE!</v>
      </c>
      <c r="E220" s="6" t="e">
        <f>(((Volumes!B217+Volumes!C217)/Volumes!C217)*(Volumes!C217/1000*(C220/1000000)))/(0.082057*308.15)</f>
        <v>#VALUE!</v>
      </c>
      <c r="F220" s="4" t="e">
        <f>(D220+E220)*(1000/Volumes!D217)*1000000</f>
        <v>#VALUE!</v>
      </c>
      <c r="G220">
        <f t="shared" si="12"/>
        <v>2.4114848528124858E-3</v>
      </c>
      <c r="H220" s="28" t="e">
        <f t="shared" si="13"/>
        <v>#VALUE!</v>
      </c>
      <c r="I220" s="25" t="e">
        <f t="shared" si="14"/>
        <v>#VALUE!</v>
      </c>
      <c r="J220" s="28" t="e">
        <f t="shared" si="15"/>
        <v>#VALUE!</v>
      </c>
    </row>
    <row r="221" spans="1:10" x14ac:dyDescent="0.15">
      <c r="A221" t="s">
        <v>307</v>
      </c>
      <c r="B221">
        <f>'C-speciation'!F223</f>
        <v>275.57840625</v>
      </c>
      <c r="C221" s="48">
        <v>0.83847862960009001</v>
      </c>
      <c r="D221" s="6">
        <f>(((C221/1000000)*((0.0013))*Volumes!B218/1000)*((Volumes!B218+Volumes!C218)/Volumes!C218))</f>
        <v>7.2268473085231742E-12</v>
      </c>
      <c r="E221" s="6">
        <f>(((Volumes!B218+Volumes!C218)/Volumes!C218)*(Volumes!C218/1000*(C221/1000000)))/(0.082057*308.15)</f>
        <v>7.3283544161680607E-10</v>
      </c>
      <c r="F221" s="4">
        <f>(D221+E221)*(1000/Volumes!D218)*1000000</f>
        <v>0.14801245778506586</v>
      </c>
      <c r="G221">
        <f t="shared" si="12"/>
        <v>2.3811853168306057E-3</v>
      </c>
      <c r="H221" s="28">
        <f t="shared" si="13"/>
        <v>62.159151049223134</v>
      </c>
      <c r="I221" s="25">
        <f t="shared" si="14"/>
        <v>32.715342657485863</v>
      </c>
      <c r="J221" s="28">
        <f t="shared" si="15"/>
        <v>1.7776296179986408</v>
      </c>
    </row>
    <row r="222" spans="1:10" x14ac:dyDescent="0.15">
      <c r="A222" t="s">
        <v>308</v>
      </c>
      <c r="B222">
        <f>'C-speciation'!F224</f>
        <v>275.14999999999998</v>
      </c>
      <c r="C222" s="48" t="s">
        <v>93</v>
      </c>
      <c r="D222" s="6" t="e">
        <f>(((C222/1000000)*((0.0013))*Volumes!B219/1000)*((Volumes!B219+Volumes!C219)/Volumes!C219))</f>
        <v>#VALUE!</v>
      </c>
      <c r="E222" s="6" t="e">
        <f>(((Volumes!B219+Volumes!C219)/Volumes!C219)*(Volumes!C219/1000*(C222/1000000)))/(0.082057*308.15)</f>
        <v>#VALUE!</v>
      </c>
      <c r="F222" s="4" t="e">
        <f>(D222+E222)*(1000/Volumes!D219)*1000000</f>
        <v>#VALUE!</v>
      </c>
      <c r="G222">
        <f t="shared" si="12"/>
        <v>2.4114848528124858E-3</v>
      </c>
      <c r="H222" s="28" t="e">
        <f t="shared" si="13"/>
        <v>#VALUE!</v>
      </c>
      <c r="I222" s="25" t="e">
        <f t="shared" si="14"/>
        <v>#VALUE!</v>
      </c>
      <c r="J222" s="28" t="e">
        <f t="shared" si="15"/>
        <v>#VALUE!</v>
      </c>
    </row>
    <row r="223" spans="1:10" x14ac:dyDescent="0.15">
      <c r="A223" t="s">
        <v>309</v>
      </c>
      <c r="B223">
        <f>'C-speciation'!F225</f>
        <v>275.14999999999998</v>
      </c>
      <c r="C223" s="48" t="s">
        <v>93</v>
      </c>
      <c r="D223" s="6" t="e">
        <f>(((C223/1000000)*((0.0013))*Volumes!B220/1000)*((Volumes!B220+Volumes!C220)/Volumes!C220))</f>
        <v>#VALUE!</v>
      </c>
      <c r="E223" s="6" t="e">
        <f>(((Volumes!B220+Volumes!C220)/Volumes!C220)*(Volumes!C220/1000*(C223/1000000)))/(0.082057*308.15)</f>
        <v>#VALUE!</v>
      </c>
      <c r="F223" s="4" t="e">
        <f>(D223+E223)*(1000/Volumes!D220)*1000000</f>
        <v>#VALUE!</v>
      </c>
      <c r="G223">
        <f t="shared" si="12"/>
        <v>2.4114848528124858E-3</v>
      </c>
      <c r="H223" s="28" t="e">
        <f t="shared" si="13"/>
        <v>#VALUE!</v>
      </c>
      <c r="I223" s="25" t="e">
        <f t="shared" si="14"/>
        <v>#VALUE!</v>
      </c>
      <c r="J223" s="28" t="e">
        <f t="shared" si="15"/>
        <v>#VALUE!</v>
      </c>
    </row>
    <row r="224" spans="1:10" x14ac:dyDescent="0.15">
      <c r="A224" t="s">
        <v>310</v>
      </c>
      <c r="B224">
        <f>'C-speciation'!F226</f>
        <v>279.36391666666663</v>
      </c>
      <c r="C224" s="48">
        <v>1.8985208165115399</v>
      </c>
      <c r="D224" s="6">
        <f>(((C224/1000000)*((0.0013))*Volumes!B221/1000)*((Volumes!B221+Volumes!C221)/Volumes!C221))</f>
        <v>1.6363350917512962E-11</v>
      </c>
      <c r="E224" s="6">
        <f>(((Volumes!B221+Volumes!C221)/Volumes!C221)*(Volumes!C221/1000*(C224/1000000)))/(0.082057*308.15)</f>
        <v>1.6593187850840179E-9</v>
      </c>
      <c r="F224" s="4">
        <f>(D224+E224)*(1000/Volumes!D221)*1000000</f>
        <v>0.33513642720030618</v>
      </c>
      <c r="G224">
        <f t="shared" si="12"/>
        <v>2.1393886048874538E-3</v>
      </c>
      <c r="H224" s="28">
        <f t="shared" si="13"/>
        <v>156.65056195713288</v>
      </c>
      <c r="I224" s="25">
        <f t="shared" si="14"/>
        <v>82.447664187964676</v>
      </c>
      <c r="J224" s="28">
        <f t="shared" si="15"/>
        <v>4.0249884906756774</v>
      </c>
    </row>
    <row r="225" spans="1:10" x14ac:dyDescent="0.15">
      <c r="A225" t="s">
        <v>311</v>
      </c>
      <c r="B225">
        <f>'C-speciation'!F227</f>
        <v>286.77979166666665</v>
      </c>
      <c r="C225" s="48">
        <v>7.23</v>
      </c>
      <c r="D225" s="6">
        <f>(((C225/1000000)*((0.0013))*Volumes!B222/1000)*((Volumes!B222+Volumes!C222)/Volumes!C222))</f>
        <v>6.231537E-11</v>
      </c>
      <c r="E225" s="6">
        <f>(((Volumes!B222+Volumes!C222)/Volumes!C222)*(Volumes!C222/1000*(C225/1000000)))/(0.082057*308.15)</f>
        <v>6.3190641428948105E-9</v>
      </c>
      <c r="F225" s="4">
        <f>(D225+E225)*(1000/Volumes!D222)*1000000</f>
        <v>1.2762759025789621</v>
      </c>
      <c r="G225">
        <f t="shared" si="12"/>
        <v>1.77495875700835E-3</v>
      </c>
      <c r="H225" s="28">
        <f t="shared" si="13"/>
        <v>719.04538487986849</v>
      </c>
      <c r="I225" s="25">
        <f t="shared" si="14"/>
        <v>378.4449394104571</v>
      </c>
      <c r="J225" s="28">
        <f t="shared" si="15"/>
        <v>15.328073589973334</v>
      </c>
    </row>
    <row r="226" spans="1:10" x14ac:dyDescent="0.15">
      <c r="A226" t="s">
        <v>312</v>
      </c>
      <c r="B226">
        <f>'C-speciation'!F228</f>
        <v>290.57291666666669</v>
      </c>
      <c r="C226" s="48">
        <v>5.5300801460973004</v>
      </c>
      <c r="D226" s="6">
        <f>(((C226/1000000)*((0.0013))*Volumes!B223/1000)*((Volumes!B223+Volumes!C223)/Volumes!C223))</f>
        <v>4.7663760779212628E-11</v>
      </c>
      <c r="E226" s="6">
        <f>(((Volumes!B223+Volumes!C223)/Volumes!C223)*(Volumes!C223/1000*(C226/1000000)))/(0.082057*308.15)</f>
        <v>4.833323811692662E-9</v>
      </c>
      <c r="F226" s="4">
        <f>(D226+E226)*(1000/Volumes!D223)*1000000</f>
        <v>0.97619751449437497</v>
      </c>
      <c r="G226">
        <f t="shared" si="12"/>
        <v>1.6311844206044529E-3</v>
      </c>
      <c r="H226" s="28">
        <f t="shared" si="13"/>
        <v>598.45931714614744</v>
      </c>
      <c r="I226" s="25">
        <f t="shared" si="14"/>
        <v>314.97858797165657</v>
      </c>
      <c r="J226" s="28">
        <f t="shared" si="15"/>
        <v>11.724132149077443</v>
      </c>
    </row>
    <row r="227" spans="1:10" x14ac:dyDescent="0.15">
      <c r="A227" t="s">
        <v>313</v>
      </c>
      <c r="B227">
        <f>'C-speciation'!F229</f>
        <v>275.14999999999998</v>
      </c>
      <c r="C227" s="48" t="s">
        <v>93</v>
      </c>
      <c r="D227" s="6" t="e">
        <f>(((C227/1000000)*((0.0013))*Volumes!B224/1000)*((Volumes!B224+Volumes!C224)/Volumes!C224))</f>
        <v>#VALUE!</v>
      </c>
      <c r="E227" s="6" t="e">
        <f>(((Volumes!B224+Volumes!C224)/Volumes!C224)*(Volumes!C224/1000*(C227/1000000)))/(0.082057*308.15)</f>
        <v>#VALUE!</v>
      </c>
      <c r="F227" s="4" t="e">
        <f>(D227+E227)*(1000/Volumes!D224)*1000000</f>
        <v>#VALUE!</v>
      </c>
      <c r="G227">
        <f t="shared" si="12"/>
        <v>2.4114848528124858E-3</v>
      </c>
      <c r="H227" s="28" t="e">
        <f t="shared" si="13"/>
        <v>#VALUE!</v>
      </c>
      <c r="I227" s="25" t="e">
        <f t="shared" si="14"/>
        <v>#VALUE!</v>
      </c>
      <c r="J227" s="28" t="e">
        <f t="shared" si="15"/>
        <v>#VALUE!</v>
      </c>
    </row>
    <row r="228" spans="1:10" x14ac:dyDescent="0.15">
      <c r="A228" t="s">
        <v>314</v>
      </c>
      <c r="B228">
        <f>'C-speciation'!F230</f>
        <v>275.14999999999998</v>
      </c>
      <c r="C228" s="48" t="s">
        <v>93</v>
      </c>
      <c r="D228" s="6" t="e">
        <f>(((C228/1000000)*((0.0013))*Volumes!B225/1000)*((Volumes!B225+Volumes!C225)/Volumes!C225))</f>
        <v>#VALUE!</v>
      </c>
      <c r="E228" s="6" t="e">
        <f>(((Volumes!B225+Volumes!C225)/Volumes!C225)*(Volumes!C225/1000*(C228/1000000)))/(0.082057*308.15)</f>
        <v>#VALUE!</v>
      </c>
      <c r="F228" s="4" t="e">
        <f>(D228+E228)*(1000/Volumes!D225)*1000000</f>
        <v>#VALUE!</v>
      </c>
      <c r="G228">
        <f t="shared" si="12"/>
        <v>2.4114848528124858E-3</v>
      </c>
      <c r="H228" s="28" t="e">
        <f t="shared" si="13"/>
        <v>#VALUE!</v>
      </c>
      <c r="I228" s="25" t="e">
        <f t="shared" si="14"/>
        <v>#VALUE!</v>
      </c>
      <c r="J228" s="28" t="e">
        <f t="shared" si="15"/>
        <v>#VALUE!</v>
      </c>
    </row>
    <row r="229" spans="1:10" x14ac:dyDescent="0.15">
      <c r="A229" t="s">
        <v>315</v>
      </c>
      <c r="B229">
        <f>'C-speciation'!F231</f>
        <v>275.14999999999998</v>
      </c>
      <c r="C229" s="48">
        <v>1.3368809008674301</v>
      </c>
      <c r="D229" s="6">
        <f>(((C229/1000000)*((0.0013))*Volumes!B226/1000)*((Volumes!B226+Volumes!C226)/Volumes!C226))</f>
        <v>1.1522576484576376E-11</v>
      </c>
      <c r="E229" s="6">
        <f>(((Volumes!B226+Volumes!C226)/Volumes!C226)*(Volumes!C226/1000*(C229/1000000)))/(0.082057*308.15)</f>
        <v>1.168442069708477E-9</v>
      </c>
      <c r="F229" s="4">
        <f>(D229+E229)*(1000/Volumes!D226)*1000000</f>
        <v>0.23599292923861068</v>
      </c>
      <c r="G229">
        <f t="shared" si="12"/>
        <v>2.4114848528124858E-3</v>
      </c>
      <c r="H229" s="28">
        <f t="shared" si="13"/>
        <v>97.862082344566659</v>
      </c>
      <c r="I229" s="25">
        <f t="shared" si="14"/>
        <v>51.506359128719296</v>
      </c>
      <c r="J229" s="28">
        <f t="shared" si="15"/>
        <v>2.8342750801557144</v>
      </c>
    </row>
    <row r="230" spans="1:10" x14ac:dyDescent="0.15">
      <c r="A230" t="s">
        <v>316</v>
      </c>
      <c r="B230">
        <f>'C-speciation'!F232</f>
        <v>275.14999999999998</v>
      </c>
      <c r="C230" s="48" t="s">
        <v>93</v>
      </c>
      <c r="D230" s="6" t="e">
        <f>(((C230/1000000)*((0.0013))*Volumes!B227/1000)*((Volumes!B227+Volumes!C227)/Volumes!C227))</f>
        <v>#VALUE!</v>
      </c>
      <c r="E230" s="6" t="e">
        <f>(((Volumes!B227+Volumes!C227)/Volumes!C227)*(Volumes!C227/1000*(C230/1000000)))/(0.082057*308.15)</f>
        <v>#VALUE!</v>
      </c>
      <c r="F230" s="4" t="e">
        <f>(D230+E230)*(1000/Volumes!D227)*1000000</f>
        <v>#VALUE!</v>
      </c>
      <c r="G230">
        <f t="shared" si="12"/>
        <v>2.4114848528124858E-3</v>
      </c>
      <c r="H230" s="28" t="e">
        <f t="shared" si="13"/>
        <v>#VALUE!</v>
      </c>
      <c r="I230" s="25" t="e">
        <f t="shared" si="14"/>
        <v>#VALUE!</v>
      </c>
      <c r="J230" s="28" t="e">
        <f t="shared" si="15"/>
        <v>#VALUE!</v>
      </c>
    </row>
    <row r="231" spans="1:10" x14ac:dyDescent="0.15">
      <c r="A231" t="s">
        <v>317</v>
      </c>
      <c r="B231">
        <f>'C-speciation'!F233</f>
        <v>275.14999999999998</v>
      </c>
      <c r="C231" s="48" t="s">
        <v>93</v>
      </c>
      <c r="D231" s="6" t="e">
        <f>(((C231/1000000)*((0.0013))*Volumes!B228/1000)*((Volumes!B228+Volumes!C228)/Volumes!C228))</f>
        <v>#VALUE!</v>
      </c>
      <c r="E231" s="6" t="e">
        <f>(((Volumes!B228+Volumes!C228)/Volumes!C228)*(Volumes!C228/1000*(C231/1000000)))/(0.082057*308.15)</f>
        <v>#VALUE!</v>
      </c>
      <c r="F231" s="4" t="e">
        <f>(D231+E231)*(1000/Volumes!D228)*1000000</f>
        <v>#VALUE!</v>
      </c>
      <c r="G231">
        <f t="shared" si="12"/>
        <v>2.4114848528124858E-3</v>
      </c>
      <c r="H231" s="28" t="e">
        <f t="shared" si="13"/>
        <v>#VALUE!</v>
      </c>
      <c r="I231" s="25" t="e">
        <f t="shared" si="14"/>
        <v>#VALUE!</v>
      </c>
      <c r="J231" s="28" t="e">
        <f t="shared" si="15"/>
        <v>#VALUE!</v>
      </c>
    </row>
    <row r="232" spans="1:10" x14ac:dyDescent="0.15">
      <c r="A232" t="s">
        <v>318</v>
      </c>
      <c r="B232">
        <f>'C-speciation'!F234</f>
        <v>281.68622916666664</v>
      </c>
      <c r="C232" s="48">
        <v>0.94</v>
      </c>
      <c r="D232" s="6">
        <f>(((C232/1000000)*((0.0013))*Volumes!B229/1000)*((Volumes!B229+Volumes!C229)/Volumes!C229))</f>
        <v>8.1018599999999975E-12</v>
      </c>
      <c r="E232" s="6">
        <f>(((Volumes!B229+Volumes!C229)/Volumes!C229)*(Volumes!C229/1000*(C232/1000000)))/(0.082057*308.15)</f>
        <v>8.2156573918687694E-10</v>
      </c>
      <c r="F232" s="4">
        <f>(D232+E232)*(1000/Volumes!D229)*1000000</f>
        <v>0.16593351983737539</v>
      </c>
      <c r="G232">
        <f t="shared" si="12"/>
        <v>2.0114355176438685E-3</v>
      </c>
      <c r="H232" s="28">
        <f t="shared" si="13"/>
        <v>82.495072987348181</v>
      </c>
      <c r="I232" s="25">
        <f t="shared" si="14"/>
        <v>43.418459467025357</v>
      </c>
      <c r="J232" s="28">
        <f t="shared" si="15"/>
        <v>1.9928615732468784</v>
      </c>
    </row>
    <row r="233" spans="1:10" x14ac:dyDescent="0.15">
      <c r="A233" t="s">
        <v>319</v>
      </c>
      <c r="B233">
        <f>'C-speciation'!F235</f>
        <v>275.14999999999998</v>
      </c>
      <c r="C233" s="48" t="s">
        <v>93</v>
      </c>
      <c r="D233" s="6" t="e">
        <f>(((C233/1000000)*((0.0013))*Volumes!B230/1000)*((Volumes!B230+Volumes!C230)/Volumes!C230))</f>
        <v>#VALUE!</v>
      </c>
      <c r="E233" s="6" t="e">
        <f>(((Volumes!B230+Volumes!C230)/Volumes!C230)*(Volumes!C230/1000*(C233/1000000)))/(0.082057*308.15)</f>
        <v>#VALUE!</v>
      </c>
      <c r="F233" s="4" t="e">
        <f>(D233+E233)*(1000/Volumes!D230)*1000000</f>
        <v>#VALUE!</v>
      </c>
      <c r="G233">
        <f t="shared" si="12"/>
        <v>2.4114848528124858E-3</v>
      </c>
      <c r="H233" s="28" t="e">
        <f t="shared" si="13"/>
        <v>#VALUE!</v>
      </c>
      <c r="I233" s="25" t="e">
        <f t="shared" si="14"/>
        <v>#VALUE!</v>
      </c>
      <c r="J233" s="28" t="e">
        <f t="shared" si="15"/>
        <v>#VALUE!</v>
      </c>
    </row>
    <row r="234" spans="1:10" x14ac:dyDescent="0.15">
      <c r="A234" t="s">
        <v>320</v>
      </c>
      <c r="B234">
        <f>'C-speciation'!F236</f>
        <v>275.14999999999998</v>
      </c>
      <c r="C234" s="48" t="s">
        <v>93</v>
      </c>
      <c r="D234" s="6" t="e">
        <f>(((C234/1000000)*((0.0013))*Volumes!B231/1000)*((Volumes!B231+Volumes!C231)/Volumes!C231))</f>
        <v>#VALUE!</v>
      </c>
      <c r="E234" s="6" t="e">
        <f>(((Volumes!B231+Volumes!C231)/Volumes!C231)*(Volumes!C231/1000*(C234/1000000)))/(0.082057*308.15)</f>
        <v>#VALUE!</v>
      </c>
      <c r="F234" s="4" t="e">
        <f>(D234+E234)*(1000/Volumes!D231)*1000000</f>
        <v>#VALUE!</v>
      </c>
      <c r="G234">
        <f t="shared" si="12"/>
        <v>2.4114848528124858E-3</v>
      </c>
      <c r="H234" s="28" t="e">
        <f t="shared" si="13"/>
        <v>#VALUE!</v>
      </c>
      <c r="I234" s="25" t="e">
        <f t="shared" si="14"/>
        <v>#VALUE!</v>
      </c>
      <c r="J234" s="28" t="e">
        <f t="shared" si="15"/>
        <v>#VALUE!</v>
      </c>
    </row>
  </sheetData>
  <phoneticPr fontId="10" type="noConversion"/>
  <pageMargins left="0.75" right="0.75" top="1" bottom="1" header="0.5" footer="0.5"/>
  <pageSetup paperSize="9" orientation="portrait" horizontalDpi="1200" verticalDpi="12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603F-38C0-F54B-8CB7-E53C4D1C2F42}">
  <dimension ref="A1:H230"/>
  <sheetViews>
    <sheetView topLeftCell="A44" zoomScale="141" workbookViewId="0">
      <selection activeCell="A44" sqref="A1:XFD1048576"/>
    </sheetView>
  </sheetViews>
  <sheetFormatPr baseColWidth="10" defaultRowHeight="13" x14ac:dyDescent="0.15"/>
  <cols>
    <col min="1" max="1" width="14.6640625" bestFit="1" customWidth="1"/>
    <col min="7" max="7" width="10.83203125" style="25"/>
    <col min="8" max="8" width="11.6640625" bestFit="1" customWidth="1"/>
  </cols>
  <sheetData>
    <row r="1" spans="1:8" x14ac:dyDescent="0.15">
      <c r="A1" s="24" t="s">
        <v>321</v>
      </c>
      <c r="B1" s="3" t="s">
        <v>328</v>
      </c>
      <c r="C1" s="3" t="s">
        <v>322</v>
      </c>
      <c r="D1" s="24" t="s">
        <v>323</v>
      </c>
      <c r="E1" s="24" t="s">
        <v>324</v>
      </c>
      <c r="F1" s="24" t="s">
        <v>327</v>
      </c>
      <c r="G1" s="50" t="s">
        <v>326</v>
      </c>
      <c r="H1" s="24" t="s">
        <v>325</v>
      </c>
    </row>
    <row r="2" spans="1:8" ht="14" x14ac:dyDescent="0.15">
      <c r="A2" s="43" t="s">
        <v>94</v>
      </c>
      <c r="B2" s="52" t="s">
        <v>329</v>
      </c>
      <c r="C2" s="53">
        <v>43811</v>
      </c>
      <c r="D2" s="52">
        <v>6.1513368379415114</v>
      </c>
      <c r="E2" s="54">
        <v>6.1286538044672811</v>
      </c>
      <c r="F2" s="55">
        <v>7112.75537511726</v>
      </c>
      <c r="G2" s="55">
        <v>1366.111588985395</v>
      </c>
      <c r="H2" s="56">
        <v>39.565232423119419</v>
      </c>
    </row>
    <row r="3" spans="1:8" ht="14" x14ac:dyDescent="0.15">
      <c r="A3" s="43" t="s">
        <v>95</v>
      </c>
      <c r="B3" s="52" t="s">
        <v>329</v>
      </c>
      <c r="C3" s="53">
        <v>43789</v>
      </c>
      <c r="D3" s="52">
        <v>4.2951094182437171</v>
      </c>
      <c r="E3" s="54">
        <v>4.2806288634552088</v>
      </c>
      <c r="F3" s="55">
        <v>4967.9859441937697</v>
      </c>
      <c r="G3" s="55">
        <v>540.24416195004346</v>
      </c>
      <c r="H3" s="56">
        <v>15.646515266488493</v>
      </c>
    </row>
    <row r="4" spans="1:8" ht="14" x14ac:dyDescent="0.15">
      <c r="A4" s="43" t="s">
        <v>96</v>
      </c>
      <c r="B4" s="52" t="s">
        <v>329</v>
      </c>
      <c r="C4" s="53">
        <v>44697</v>
      </c>
      <c r="D4" s="52">
        <v>3.3684637893762863</v>
      </c>
      <c r="E4" s="54">
        <v>3.3470044366375142</v>
      </c>
      <c r="F4" s="55">
        <v>4937.3948316472815</v>
      </c>
      <c r="G4" s="55">
        <v>353.67568525426941</v>
      </c>
      <c r="H4" s="56">
        <v>8.5438639789201307</v>
      </c>
    </row>
    <row r="5" spans="1:8" ht="14" x14ac:dyDescent="0.15">
      <c r="A5" s="43" t="s">
        <v>97</v>
      </c>
      <c r="B5" s="52" t="s">
        <v>329</v>
      </c>
      <c r="C5" s="53">
        <v>44341</v>
      </c>
      <c r="D5" s="52">
        <v>3.8125998849887393</v>
      </c>
      <c r="E5" s="54">
        <v>3.7964428543901714</v>
      </c>
      <c r="F5" s="55">
        <v>5583.4354169332046</v>
      </c>
      <c r="G5" s="55"/>
      <c r="H5" s="56"/>
    </row>
    <row r="6" spans="1:8" ht="14" x14ac:dyDescent="0.15">
      <c r="A6" s="43" t="s">
        <v>98</v>
      </c>
      <c r="B6" s="52" t="s">
        <v>329</v>
      </c>
      <c r="C6" s="53">
        <v>44601</v>
      </c>
      <c r="D6" s="52">
        <v>16.248007692272029</v>
      </c>
      <c r="E6" s="54">
        <v>16.158181955903743</v>
      </c>
      <c r="F6" s="55">
        <v>18752.76353107157</v>
      </c>
      <c r="G6" s="55">
        <v>14301.434791425689</v>
      </c>
      <c r="H6" s="56">
        <v>414.19719740983254</v>
      </c>
    </row>
    <row r="7" spans="1:8" ht="14" x14ac:dyDescent="0.15">
      <c r="A7" s="43" t="s">
        <v>99</v>
      </c>
      <c r="B7" s="52" t="s">
        <v>329</v>
      </c>
      <c r="C7" s="53">
        <v>44138</v>
      </c>
      <c r="D7" s="52">
        <v>2.8250026171853801</v>
      </c>
      <c r="E7" s="54">
        <v>2.8180320073945175</v>
      </c>
      <c r="F7" s="55">
        <v>3270.5342718554998</v>
      </c>
      <c r="G7" s="55">
        <v>62.596494261275204</v>
      </c>
      <c r="H7" s="56">
        <v>1.8129154779802483</v>
      </c>
    </row>
    <row r="8" spans="1:8" ht="14" x14ac:dyDescent="0.15">
      <c r="A8" s="43" t="s">
        <v>100</v>
      </c>
      <c r="B8" s="52" t="s">
        <v>329</v>
      </c>
      <c r="C8" s="53">
        <v>44384</v>
      </c>
      <c r="D8" s="52">
        <v>19.506646747567498</v>
      </c>
      <c r="E8" s="54">
        <v>19.432898144491407</v>
      </c>
      <c r="F8" s="55">
        <v>38318.216791987754</v>
      </c>
      <c r="G8" s="55">
        <v>58522.01443790042</v>
      </c>
      <c r="H8" s="56">
        <v>1146.4769805440392</v>
      </c>
    </row>
    <row r="9" spans="1:8" ht="14" x14ac:dyDescent="0.15">
      <c r="A9" s="43" t="s">
        <v>101</v>
      </c>
      <c r="B9" s="52" t="s">
        <v>329</v>
      </c>
      <c r="C9" s="53">
        <v>44315</v>
      </c>
      <c r="D9" s="52">
        <v>2.738233584141605</v>
      </c>
      <c r="E9" s="54">
        <v>2.7266802395923309</v>
      </c>
      <c r="F9" s="55">
        <v>3164.5137984869693</v>
      </c>
      <c r="G9" s="55"/>
      <c r="H9" s="56"/>
    </row>
    <row r="10" spans="1:8" ht="14" x14ac:dyDescent="0.15">
      <c r="A10" s="43" t="s">
        <v>102</v>
      </c>
      <c r="B10" s="52" t="s">
        <v>329</v>
      </c>
      <c r="C10" s="53">
        <v>44411</v>
      </c>
      <c r="D10" s="52">
        <v>4.2464307954636293</v>
      </c>
      <c r="E10" s="54">
        <v>4.2311404865891902</v>
      </c>
      <c r="F10" s="55">
        <v>7107.23899399333</v>
      </c>
      <c r="G10" s="55">
        <v>3107.3053020314178</v>
      </c>
      <c r="H10" s="56">
        <v>68.242459506163883</v>
      </c>
    </row>
    <row r="11" spans="1:8" ht="14" x14ac:dyDescent="0.15">
      <c r="A11" s="43" t="s">
        <v>103</v>
      </c>
      <c r="B11" s="52" t="s">
        <v>329</v>
      </c>
      <c r="C11" s="53">
        <v>44687</v>
      </c>
      <c r="D11" s="52">
        <v>3.9333744872205645</v>
      </c>
      <c r="E11" s="54">
        <v>3.90732541885775</v>
      </c>
      <c r="F11" s="55">
        <v>4534.7397262111308</v>
      </c>
      <c r="G11" s="55">
        <v>118.58690874806585</v>
      </c>
      <c r="H11" s="56">
        <v>3.4345061155956853</v>
      </c>
    </row>
    <row r="12" spans="1:8" ht="14" x14ac:dyDescent="0.15">
      <c r="A12" s="43" t="s">
        <v>104</v>
      </c>
      <c r="B12" s="52" t="s">
        <v>329</v>
      </c>
      <c r="C12" s="53">
        <v>44294</v>
      </c>
      <c r="D12" s="52">
        <v>3.5489247448138359</v>
      </c>
      <c r="E12" s="54">
        <v>3.5361282340791433</v>
      </c>
      <c r="F12" s="55">
        <v>4103.9379783072245</v>
      </c>
      <c r="G12" s="55"/>
      <c r="H12" s="56"/>
    </row>
    <row r="13" spans="1:8" ht="14" x14ac:dyDescent="0.15">
      <c r="A13" s="43" t="s">
        <v>105</v>
      </c>
      <c r="B13" s="52" t="s">
        <v>329</v>
      </c>
      <c r="C13" s="53">
        <v>44368</v>
      </c>
      <c r="D13" s="52">
        <v>2.8037857639586257</v>
      </c>
      <c r="E13" s="54">
        <v>2.7917165551932763</v>
      </c>
      <c r="F13" s="55">
        <v>4514.3044210841263</v>
      </c>
      <c r="G13" s="55">
        <v>177.93839774649868</v>
      </c>
      <c r="H13" s="56">
        <v>4.0175443284930763</v>
      </c>
    </row>
    <row r="14" spans="1:8" ht="14" x14ac:dyDescent="0.15">
      <c r="A14" s="43" t="s">
        <v>106</v>
      </c>
      <c r="B14" s="52" t="s">
        <v>329</v>
      </c>
      <c r="C14" s="53">
        <v>44524</v>
      </c>
      <c r="D14" s="52">
        <v>10.824452686478519</v>
      </c>
      <c r="E14" s="54">
        <v>10.777742991263528</v>
      </c>
      <c r="F14" s="55">
        <v>12508.36673738426</v>
      </c>
      <c r="G14" s="55">
        <v>1173.7995480602815</v>
      </c>
      <c r="H14" s="56">
        <v>33.995503962929973</v>
      </c>
    </row>
    <row r="15" spans="1:8" ht="14" x14ac:dyDescent="0.15">
      <c r="A15" s="43" t="s">
        <v>107</v>
      </c>
      <c r="B15" s="52" t="s">
        <v>329</v>
      </c>
      <c r="C15" s="53">
        <v>44396</v>
      </c>
      <c r="D15" s="52">
        <v>3.685305487968408</v>
      </c>
      <c r="E15" s="54">
        <v>3.6718056546920792</v>
      </c>
      <c r="F15" s="55">
        <v>6344.9348272129091</v>
      </c>
      <c r="G15" s="55">
        <v>964.77017561522098</v>
      </c>
      <c r="H15" s="56">
        <v>20.758788368090787</v>
      </c>
    </row>
    <row r="16" spans="1:8" ht="14" x14ac:dyDescent="0.15">
      <c r="A16" s="43" t="s">
        <v>108</v>
      </c>
      <c r="B16" s="52" t="s">
        <v>329</v>
      </c>
      <c r="C16" s="53">
        <v>44481</v>
      </c>
      <c r="D16" s="52">
        <v>3.1145379199266015</v>
      </c>
      <c r="E16" s="54">
        <v>3.103593608832619</v>
      </c>
      <c r="F16" s="55">
        <v>4215.626168565117</v>
      </c>
      <c r="G16" s="55">
        <v>438.29115735303094</v>
      </c>
      <c r="H16" s="56">
        <v>11.26147804304474</v>
      </c>
    </row>
    <row r="17" spans="1:8" ht="14" x14ac:dyDescent="0.15">
      <c r="A17" s="43" t="s">
        <v>109</v>
      </c>
      <c r="B17" s="52" t="s">
        <v>329</v>
      </c>
      <c r="C17" s="53">
        <v>44053</v>
      </c>
      <c r="D17" s="52">
        <v>19.344304607005153</v>
      </c>
      <c r="E17" s="54">
        <v>19.292772434118934</v>
      </c>
      <c r="F17" s="55">
        <v>34281.097777484247</v>
      </c>
      <c r="G17" s="55">
        <v>52075.14217337242</v>
      </c>
      <c r="H17" s="56">
        <v>1098.2572286878028</v>
      </c>
    </row>
    <row r="18" spans="1:8" ht="14" x14ac:dyDescent="0.15">
      <c r="A18" s="43" t="s">
        <v>110</v>
      </c>
      <c r="B18" s="52" t="s">
        <v>329</v>
      </c>
      <c r="C18" s="53">
        <v>44306</v>
      </c>
      <c r="D18" s="52">
        <v>2.6033284229816362</v>
      </c>
      <c r="E18" s="54">
        <v>2.5907566213063546</v>
      </c>
      <c r="F18" s="55">
        <v>3006.7644007539379</v>
      </c>
      <c r="G18" s="55"/>
      <c r="H18" s="56"/>
    </row>
    <row r="19" spans="1:8" ht="14" x14ac:dyDescent="0.15">
      <c r="A19" s="43" t="s">
        <v>111</v>
      </c>
      <c r="B19" s="52" t="s">
        <v>329</v>
      </c>
      <c r="C19" s="53">
        <v>43945</v>
      </c>
      <c r="D19" s="52">
        <v>4.0971431751655469</v>
      </c>
      <c r="E19" s="54">
        <v>4.0865743722017038</v>
      </c>
      <c r="F19" s="55">
        <v>4742.7713750949388</v>
      </c>
      <c r="G19" s="55">
        <v>74.419572153271332</v>
      </c>
      <c r="H19" s="56">
        <v>2.1553346687148003</v>
      </c>
    </row>
    <row r="20" spans="1:8" ht="14" x14ac:dyDescent="0.15">
      <c r="A20" s="43" t="s">
        <v>112</v>
      </c>
      <c r="B20" s="52" t="s">
        <v>329</v>
      </c>
      <c r="C20" s="53">
        <v>44153</v>
      </c>
      <c r="D20" s="52">
        <v>3.3647596855780448</v>
      </c>
      <c r="E20" s="54">
        <v>3.3560801055347818</v>
      </c>
      <c r="F20" s="55">
        <v>3894.9788275798278</v>
      </c>
      <c r="G20" s="55">
        <v>62.705049547453314</v>
      </c>
      <c r="H20" s="56">
        <v>1.8160594489142663</v>
      </c>
    </row>
    <row r="21" spans="1:8" ht="14" x14ac:dyDescent="0.15">
      <c r="A21" s="43" t="s">
        <v>113</v>
      </c>
      <c r="B21" s="52" t="s">
        <v>329</v>
      </c>
      <c r="C21" s="53">
        <v>44440</v>
      </c>
      <c r="D21" s="52">
        <v>5.1393628330772794</v>
      </c>
      <c r="E21" s="54">
        <v>5.122323547536217</v>
      </c>
      <c r="F21" s="55">
        <v>7815.1096922990519</v>
      </c>
      <c r="G21" s="55">
        <v>4707.4980074999721</v>
      </c>
      <c r="H21" s="56">
        <v>110.92146808175065</v>
      </c>
    </row>
    <row r="22" spans="1:8" ht="14" x14ac:dyDescent="0.15">
      <c r="A22" s="43" t="s">
        <v>114</v>
      </c>
      <c r="B22" s="52" t="s">
        <v>329</v>
      </c>
      <c r="C22" s="53">
        <v>45183</v>
      </c>
      <c r="D22" s="52">
        <v>4.8153911901744548</v>
      </c>
      <c r="E22" s="54">
        <v>4.7898854000731061</v>
      </c>
      <c r="F22" s="55">
        <v>6786.0552244611445</v>
      </c>
      <c r="G22" s="55">
        <v>4763.8091351796093</v>
      </c>
      <c r="H22" s="56">
        <v>118.59646426322381</v>
      </c>
    </row>
    <row r="23" spans="1:8" ht="14" x14ac:dyDescent="0.15">
      <c r="A23" s="43" t="s">
        <v>115</v>
      </c>
      <c r="B23" s="52" t="s">
        <v>329</v>
      </c>
      <c r="C23" s="53">
        <v>44733</v>
      </c>
      <c r="D23" s="52">
        <v>3.173160090865069</v>
      </c>
      <c r="E23" s="54">
        <v>3.1575259586776694</v>
      </c>
      <c r="F23" s="55">
        <v>5105.8311662874594</v>
      </c>
      <c r="G23" s="55">
        <v>693.90931290465824</v>
      </c>
      <c r="H23" s="56">
        <v>15.667284070525994</v>
      </c>
    </row>
    <row r="24" spans="1:8" ht="14" x14ac:dyDescent="0.15">
      <c r="A24" s="43" t="s">
        <v>116</v>
      </c>
      <c r="B24" s="52" t="s">
        <v>329</v>
      </c>
      <c r="C24" s="53">
        <v>44704</v>
      </c>
      <c r="D24" s="52">
        <v>4.9077929400077185</v>
      </c>
      <c r="E24" s="54">
        <v>4.8817475742083056</v>
      </c>
      <c r="F24" s="55">
        <v>6486.591246105384</v>
      </c>
      <c r="G24" s="55">
        <v>1231.9365592995516</v>
      </c>
      <c r="H24" s="56">
        <v>32.182594342433646</v>
      </c>
    </row>
    <row r="25" spans="1:8" ht="14" x14ac:dyDescent="0.15">
      <c r="A25" s="43" t="s">
        <v>117</v>
      </c>
      <c r="B25" s="52" t="s">
        <v>329</v>
      </c>
      <c r="C25" s="53">
        <v>45168</v>
      </c>
      <c r="D25" s="52">
        <v>3.7422708682472221</v>
      </c>
      <c r="E25" s="54">
        <v>3.7270185067493125</v>
      </c>
      <c r="F25" s="55">
        <v>5934.257247770608</v>
      </c>
      <c r="G25" s="55">
        <v>407.58052859283941</v>
      </c>
      <c r="H25" s="56">
        <v>9.307087560163616</v>
      </c>
    </row>
    <row r="26" spans="1:8" ht="14" x14ac:dyDescent="0.15">
      <c r="A26" s="43" t="s">
        <v>118</v>
      </c>
      <c r="B26" s="52" t="s">
        <v>329</v>
      </c>
      <c r="C26" s="53">
        <v>45545</v>
      </c>
      <c r="D26" s="52">
        <v>4.4226837533830787</v>
      </c>
      <c r="E26" s="54">
        <v>4.3959383545245592</v>
      </c>
      <c r="F26" s="55">
        <v>6416.580814799715</v>
      </c>
      <c r="G26" s="55">
        <v>1946.1152972552688</v>
      </c>
      <c r="H26" s="56">
        <v>47.38346400219973</v>
      </c>
    </row>
    <row r="27" spans="1:8" ht="14" x14ac:dyDescent="0.15">
      <c r="A27" s="43" t="s">
        <v>119</v>
      </c>
      <c r="B27" s="52" t="s">
        <v>329</v>
      </c>
      <c r="C27" s="53">
        <v>45489</v>
      </c>
      <c r="D27" s="52">
        <v>9.114172597190203</v>
      </c>
      <c r="E27" s="54">
        <v>9.0680160532214327</v>
      </c>
      <c r="F27" s="55">
        <v>16525.079744597035</v>
      </c>
      <c r="G27" s="55">
        <v>4294.8862240742274</v>
      </c>
      <c r="H27" s="56">
        <v>88.957948524935148</v>
      </c>
    </row>
    <row r="28" spans="1:8" ht="14" x14ac:dyDescent="0.15">
      <c r="A28" s="43" t="s">
        <v>120</v>
      </c>
      <c r="B28" s="52" t="s">
        <v>329</v>
      </c>
      <c r="C28" s="53">
        <v>44330</v>
      </c>
      <c r="D28" s="52">
        <v>2.6372888610044805</v>
      </c>
      <c r="E28" s="54">
        <v>2.6250147154693466</v>
      </c>
      <c r="F28" s="55">
        <v>3751.8208897480999</v>
      </c>
      <c r="G28" s="55">
        <v>90.532297604893245</v>
      </c>
      <c r="H28" s="56">
        <v>2.2390836103786107</v>
      </c>
    </row>
    <row r="29" spans="1:8" ht="14" x14ac:dyDescent="0.15">
      <c r="A29" s="43" t="s">
        <v>121</v>
      </c>
      <c r="B29" s="52" t="s">
        <v>329</v>
      </c>
      <c r="C29" s="53">
        <v>44320</v>
      </c>
      <c r="D29" s="52">
        <v>3.1214866685101557</v>
      </c>
      <c r="E29" s="54">
        <v>3.1086089671277284</v>
      </c>
      <c r="F29" s="55">
        <v>3607.7702943440113</v>
      </c>
      <c r="G29" s="55">
        <v>82.036004367420091</v>
      </c>
      <c r="H29" s="56">
        <v>2.3759212688266826</v>
      </c>
    </row>
    <row r="30" spans="1:8" ht="14" x14ac:dyDescent="0.15">
      <c r="A30" s="43" t="s">
        <v>122</v>
      </c>
      <c r="B30" s="52" t="s">
        <v>329</v>
      </c>
      <c r="C30" s="53">
        <v>44067</v>
      </c>
      <c r="D30" s="52">
        <v>21.470220358639583</v>
      </c>
      <c r="E30" s="54">
        <v>21.404835372710153</v>
      </c>
      <c r="F30" s="55">
        <v>32885.785785875734</v>
      </c>
      <c r="G30" s="55">
        <v>56089.11851373496</v>
      </c>
      <c r="H30" s="56">
        <v>1314.8344795753171</v>
      </c>
    </row>
    <row r="31" spans="1:8" ht="14" x14ac:dyDescent="0.15">
      <c r="A31" s="43" t="s">
        <v>123</v>
      </c>
      <c r="B31" s="52" t="s">
        <v>329</v>
      </c>
      <c r="C31" s="53">
        <v>43634</v>
      </c>
      <c r="D31" s="52">
        <v>14.839465157685456</v>
      </c>
      <c r="E31" s="54">
        <v>14.78684031046018</v>
      </c>
      <c r="F31" s="55">
        <v>24229.956428803773</v>
      </c>
      <c r="G31" s="55">
        <v>5193.8490595191088</v>
      </c>
      <c r="H31" s="56">
        <v>116.14003599864007</v>
      </c>
    </row>
    <row r="32" spans="1:8" ht="14" x14ac:dyDescent="0.15">
      <c r="A32" s="43" t="s">
        <v>124</v>
      </c>
      <c r="B32" s="52" t="s">
        <v>329</v>
      </c>
      <c r="C32" s="53">
        <v>44510</v>
      </c>
      <c r="D32" s="52">
        <v>3.3955712242890699</v>
      </c>
      <c r="E32" s="54">
        <v>3.3830500670554735</v>
      </c>
      <c r="F32" s="55">
        <v>3926.279459805648</v>
      </c>
      <c r="G32" s="55">
        <v>762.25797750881111</v>
      </c>
      <c r="H32" s="56">
        <v>22.076464536042721</v>
      </c>
    </row>
    <row r="33" spans="1:8" ht="14" x14ac:dyDescent="0.15">
      <c r="A33" s="43" t="s">
        <v>125</v>
      </c>
      <c r="B33" s="52" t="s">
        <v>329</v>
      </c>
      <c r="C33" s="53">
        <v>44313</v>
      </c>
      <c r="D33" s="52">
        <v>2.8045687309049114</v>
      </c>
      <c r="E33" s="54">
        <v>2.7932555118939058</v>
      </c>
      <c r="F33" s="55">
        <v>3241.7793189455983</v>
      </c>
      <c r="G33" s="55">
        <v>77.306375830850698</v>
      </c>
      <c r="H33" s="56">
        <v>2.2389420836465277</v>
      </c>
    </row>
    <row r="34" spans="1:8" ht="14" x14ac:dyDescent="0.15">
      <c r="A34" s="43" t="s">
        <v>126</v>
      </c>
      <c r="B34" s="52" t="s">
        <v>329</v>
      </c>
      <c r="C34" s="53">
        <v>44545</v>
      </c>
      <c r="D34" s="52">
        <v>19.252560611952859</v>
      </c>
      <c r="E34" s="54">
        <v>19.15958756574857</v>
      </c>
      <c r="F34" s="55">
        <v>22236.116411726991</v>
      </c>
      <c r="G34" s="55">
        <v>6962.4702010327555</v>
      </c>
      <c r="H34" s="56">
        <v>201.64659604966499</v>
      </c>
    </row>
    <row r="35" spans="1:8" ht="14" x14ac:dyDescent="0.15">
      <c r="A35" s="43" t="s">
        <v>127</v>
      </c>
      <c r="B35" s="52" t="s">
        <v>329</v>
      </c>
      <c r="C35" s="53">
        <v>44452</v>
      </c>
      <c r="D35" s="52">
        <v>4.6873212846656527</v>
      </c>
      <c r="E35" s="54">
        <v>4.6713609100317584</v>
      </c>
      <c r="F35" s="55">
        <v>6929.2637151085464</v>
      </c>
      <c r="G35" s="55">
        <v>1986.6996216934226</v>
      </c>
      <c r="H35" s="56">
        <v>47.796870559765658</v>
      </c>
    </row>
    <row r="36" spans="1:8" ht="14" x14ac:dyDescent="0.15">
      <c r="A36" s="43" t="s">
        <v>128</v>
      </c>
      <c r="B36" s="52" t="s">
        <v>329</v>
      </c>
      <c r="C36" s="53">
        <v>44494</v>
      </c>
      <c r="D36" s="52">
        <v>2.9165440226465367</v>
      </c>
      <c r="E36" s="54">
        <v>2.905663348395144</v>
      </c>
      <c r="F36" s="55">
        <v>3428.1722701681661</v>
      </c>
      <c r="G36" s="55">
        <v>151.43093461651216</v>
      </c>
      <c r="H36" s="56">
        <v>4.3306272674535187</v>
      </c>
    </row>
    <row r="37" spans="1:8" ht="15" x14ac:dyDescent="0.2">
      <c r="A37" s="29" t="s">
        <v>129</v>
      </c>
      <c r="B37" s="52" t="s">
        <v>329</v>
      </c>
      <c r="C37" s="53">
        <v>44180</v>
      </c>
      <c r="D37" s="52">
        <v>3.8369289573462604</v>
      </c>
      <c r="E37" s="54">
        <v>3.8245591624301758</v>
      </c>
      <c r="F37" s="55">
        <v>4438.6833728804113</v>
      </c>
      <c r="G37" s="55">
        <v>103.92353299441217</v>
      </c>
      <c r="H37" s="56">
        <v>3.0098264082580704</v>
      </c>
    </row>
    <row r="38" spans="1:8" ht="15" x14ac:dyDescent="0.2">
      <c r="A38" s="29" t="s">
        <v>130</v>
      </c>
      <c r="B38" s="52" t="s">
        <v>329</v>
      </c>
      <c r="C38" s="53">
        <v>44326</v>
      </c>
      <c r="D38" s="52">
        <v>2.3594895627893213</v>
      </c>
      <c r="E38" s="54">
        <v>2.3483602643422716</v>
      </c>
      <c r="F38" s="55">
        <v>2809.3924839244823</v>
      </c>
      <c r="G38" s="55">
        <v>65.359179970029331</v>
      </c>
      <c r="H38" s="56">
        <v>1.8493426416744068</v>
      </c>
    </row>
    <row r="39" spans="1:8" ht="15" x14ac:dyDescent="0.2">
      <c r="A39" s="29" t="s">
        <v>131</v>
      </c>
      <c r="B39" s="52" t="s">
        <v>329</v>
      </c>
      <c r="C39" s="53">
        <v>44307</v>
      </c>
      <c r="D39" s="52">
        <v>2.6982379937401593</v>
      </c>
      <c r="E39" s="54">
        <v>2.6857815908400289</v>
      </c>
      <c r="F39" s="55">
        <v>3117.0478960181549</v>
      </c>
      <c r="G39" s="55"/>
      <c r="H39" s="56"/>
    </row>
    <row r="40" spans="1:8" ht="15" x14ac:dyDescent="0.2">
      <c r="A40" s="29" t="s">
        <v>132</v>
      </c>
      <c r="B40" s="52" t="s">
        <v>329</v>
      </c>
      <c r="C40" s="53">
        <v>43748</v>
      </c>
      <c r="D40" s="52">
        <v>4.217244763311407</v>
      </c>
      <c r="E40" s="54">
        <v>4.2042497527266711</v>
      </c>
      <c r="F40" s="55">
        <v>6137.1122827041581</v>
      </c>
      <c r="G40" s="55">
        <v>406.74657159974248</v>
      </c>
      <c r="H40" s="56">
        <v>9.9029521334751376</v>
      </c>
    </row>
    <row r="41" spans="1:8" ht="15" x14ac:dyDescent="0.2">
      <c r="A41" s="29" t="s">
        <v>133</v>
      </c>
      <c r="B41" s="52" t="s">
        <v>329</v>
      </c>
      <c r="C41" s="53">
        <v>45049</v>
      </c>
      <c r="D41" s="52">
        <v>2.6754506656268013</v>
      </c>
      <c r="E41" s="54">
        <v>2.6573274935403703</v>
      </c>
      <c r="F41" s="55">
        <v>3084.0248146091949</v>
      </c>
      <c r="G41" s="55">
        <v>51.973274821683177</v>
      </c>
      <c r="H41" s="56">
        <v>1.5052465074524299</v>
      </c>
    </row>
    <row r="42" spans="1:8" ht="15" x14ac:dyDescent="0.2">
      <c r="A42" s="29" t="s">
        <v>134</v>
      </c>
      <c r="B42" s="52" t="s">
        <v>329</v>
      </c>
      <c r="C42" s="53">
        <v>44426</v>
      </c>
      <c r="D42" s="52">
        <v>3.5669141266619362</v>
      </c>
      <c r="E42" s="54">
        <v>3.5555734151670042</v>
      </c>
      <c r="F42" s="55">
        <v>6070.2312646617893</v>
      </c>
      <c r="G42" s="55">
        <v>572.70926876925012</v>
      </c>
      <c r="H42" s="56">
        <v>12.430882301904356</v>
      </c>
    </row>
    <row r="43" spans="1:8" ht="15" x14ac:dyDescent="0.2">
      <c r="A43" s="29" t="s">
        <v>135</v>
      </c>
      <c r="B43" s="52" t="s">
        <v>329</v>
      </c>
      <c r="C43" s="53">
        <v>43576</v>
      </c>
      <c r="D43" s="52">
        <v>3.6875501976105962</v>
      </c>
      <c r="E43" s="54">
        <v>3.6794053566892679</v>
      </c>
      <c r="F43" s="55">
        <v>4270.2216609054585</v>
      </c>
      <c r="G43" s="55">
        <v>91.155174916588209</v>
      </c>
      <c r="H43" s="56">
        <v>2.6400300760375699</v>
      </c>
    </row>
    <row r="44" spans="1:8" ht="15" x14ac:dyDescent="0.2">
      <c r="A44" s="29" t="s">
        <v>136</v>
      </c>
      <c r="B44" s="52" t="s">
        <v>329</v>
      </c>
      <c r="C44" s="53">
        <v>44272</v>
      </c>
      <c r="D44" s="52">
        <v>3.8623621475325982</v>
      </c>
      <c r="E44" s="54">
        <v>3.8410094050552472</v>
      </c>
      <c r="F44" s="55">
        <v>4457.7750943883511</v>
      </c>
      <c r="G44" s="55"/>
      <c r="H44" s="56"/>
    </row>
    <row r="45" spans="1:8" ht="15" x14ac:dyDescent="0.2">
      <c r="A45" s="29" t="s">
        <v>137</v>
      </c>
      <c r="B45" s="52" t="s">
        <v>329</v>
      </c>
      <c r="C45" s="53">
        <v>44244</v>
      </c>
      <c r="D45" s="52">
        <v>3.9853666651500435</v>
      </c>
      <c r="E45" s="54">
        <v>3.9681690046640137</v>
      </c>
      <c r="F45" s="55">
        <v>4605.3532011751531</v>
      </c>
      <c r="G45" s="55"/>
      <c r="H45" s="56"/>
    </row>
    <row r="46" spans="1:8" ht="15" x14ac:dyDescent="0.2">
      <c r="A46" s="29" t="s">
        <v>138</v>
      </c>
      <c r="B46" s="52" t="s">
        <v>329</v>
      </c>
      <c r="C46" s="53">
        <v>44111</v>
      </c>
      <c r="D46" s="52">
        <v>4.8547005276432573</v>
      </c>
      <c r="E46" s="54">
        <v>4.8411743503102587</v>
      </c>
      <c r="F46" s="55">
        <v>7186.1346569293801</v>
      </c>
      <c r="G46" s="55">
        <v>290.57902817431113</v>
      </c>
      <c r="H46" s="56">
        <v>6.9872838798005636</v>
      </c>
    </row>
    <row r="47" spans="1:8" ht="15" x14ac:dyDescent="0.2">
      <c r="A47" s="29" t="s">
        <v>139</v>
      </c>
      <c r="B47" s="52" t="s">
        <v>329</v>
      </c>
      <c r="C47" s="53">
        <v>44286</v>
      </c>
      <c r="D47" s="52">
        <v>4.1540682069526698</v>
      </c>
      <c r="E47" s="54">
        <v>4.1361425653087798</v>
      </c>
      <c r="F47" s="55">
        <v>4800.2989240813422</v>
      </c>
      <c r="G47" s="55">
        <v>85.927466444139043</v>
      </c>
      <c r="H47" s="56">
        <v>2.4886255330848392</v>
      </c>
    </row>
    <row r="48" spans="1:8" ht="15" x14ac:dyDescent="0.2">
      <c r="A48" s="29" t="s">
        <v>140</v>
      </c>
      <c r="B48" s="52" t="s">
        <v>329</v>
      </c>
      <c r="C48" s="53">
        <v>44323</v>
      </c>
      <c r="D48" s="52">
        <v>2.5470508491450317</v>
      </c>
      <c r="E48" s="54">
        <v>2.5363041560158845</v>
      </c>
      <c r="F48" s="55">
        <v>2943.5682931681481</v>
      </c>
      <c r="G48" s="55">
        <v>68.363328358758963</v>
      </c>
      <c r="H48" s="56">
        <v>1.9799341412081717</v>
      </c>
    </row>
    <row r="49" spans="1:8" ht="15" x14ac:dyDescent="0.2">
      <c r="A49" s="29" t="s">
        <v>141</v>
      </c>
      <c r="B49" s="52" t="s">
        <v>329</v>
      </c>
      <c r="C49" s="53">
        <v>44166</v>
      </c>
      <c r="D49" s="52">
        <v>4.1261115348442647</v>
      </c>
      <c r="E49" s="54">
        <v>4.1136718425928507</v>
      </c>
      <c r="F49" s="55">
        <v>4774.2199907821587</v>
      </c>
      <c r="G49" s="55">
        <v>84.618295038224645</v>
      </c>
      <c r="H49" s="56">
        <v>2.4507093984335149</v>
      </c>
    </row>
    <row r="50" spans="1:8" ht="15" x14ac:dyDescent="0.2">
      <c r="A50" s="29" t="s">
        <v>142</v>
      </c>
      <c r="B50" s="52" t="s">
        <v>329</v>
      </c>
      <c r="C50" s="53">
        <v>44216</v>
      </c>
      <c r="D50" s="52">
        <v>4.2048035110976798</v>
      </c>
      <c r="E50" s="54">
        <v>4.1885867689577543</v>
      </c>
      <c r="F50" s="55">
        <v>4861.1642957109307</v>
      </c>
      <c r="G50" s="55">
        <v>147.00908137278887</v>
      </c>
      <c r="H50" s="56">
        <v>4.2576671772058656</v>
      </c>
    </row>
    <row r="51" spans="1:8" ht="15" x14ac:dyDescent="0.2">
      <c r="A51" s="29" t="s">
        <v>143</v>
      </c>
      <c r="B51" s="52" t="s">
        <v>329</v>
      </c>
      <c r="C51" s="53">
        <v>44299</v>
      </c>
      <c r="D51" s="52">
        <v>3.3298949394981379</v>
      </c>
      <c r="E51" s="54">
        <v>3.3170524731511715</v>
      </c>
      <c r="F51" s="55">
        <v>3849.6843777918034</v>
      </c>
      <c r="G51" s="55"/>
      <c r="H51" s="56"/>
    </row>
    <row r="52" spans="1:8" ht="15" x14ac:dyDescent="0.2">
      <c r="A52" s="29" t="s">
        <v>144</v>
      </c>
      <c r="B52" s="52" t="s">
        <v>329</v>
      </c>
      <c r="C52" s="53">
        <v>44125</v>
      </c>
      <c r="D52" s="52">
        <v>4.1749477516068705</v>
      </c>
      <c r="E52" s="54">
        <v>4.1627453334684414</v>
      </c>
      <c r="F52" s="55">
        <v>5085.4886623933144</v>
      </c>
      <c r="G52" s="55">
        <v>231.52610784741319</v>
      </c>
      <c r="H52" s="56">
        <v>6.4467923093192034</v>
      </c>
    </row>
    <row r="53" spans="1:8" ht="15" x14ac:dyDescent="0.2">
      <c r="A53" s="29" t="s">
        <v>145</v>
      </c>
      <c r="B53" t="s">
        <v>330</v>
      </c>
      <c r="C53" s="51">
        <v>44323</v>
      </c>
      <c r="D53">
        <v>1.2338532284196688</v>
      </c>
      <c r="E53" s="1">
        <v>1.2029424811999252</v>
      </c>
      <c r="F53" s="25">
        <v>1396.1035933984188</v>
      </c>
      <c r="H53" s="28"/>
    </row>
    <row r="54" spans="1:8" ht="15" x14ac:dyDescent="0.2">
      <c r="A54" s="29" t="s">
        <v>146</v>
      </c>
      <c r="B54" t="s">
        <v>330</v>
      </c>
      <c r="C54" s="51">
        <v>45364</v>
      </c>
      <c r="D54">
        <v>3.8871736123039318</v>
      </c>
      <c r="E54" s="1"/>
      <c r="F54" s="25"/>
      <c r="H54" s="28"/>
    </row>
    <row r="55" spans="1:8" ht="15" x14ac:dyDescent="0.2">
      <c r="A55" s="29" t="s">
        <v>147</v>
      </c>
      <c r="B55" t="s">
        <v>330</v>
      </c>
      <c r="C55" s="51">
        <v>44138</v>
      </c>
      <c r="D55">
        <v>1.8920711863683288</v>
      </c>
      <c r="E55" s="1">
        <v>1.8709970401932465</v>
      </c>
      <c r="F55" s="25">
        <v>2171.4302486400211</v>
      </c>
      <c r="H55" s="28"/>
    </row>
    <row r="56" spans="1:8" ht="15" x14ac:dyDescent="0.2">
      <c r="A56" s="29" t="s">
        <v>148</v>
      </c>
      <c r="B56" t="s">
        <v>330</v>
      </c>
      <c r="C56" s="51">
        <v>43964</v>
      </c>
      <c r="D56">
        <v>1.1896915880821324</v>
      </c>
      <c r="E56" s="1">
        <v>1.1518330850740586</v>
      </c>
      <c r="F56" s="25">
        <v>1725.1472139160051</v>
      </c>
      <c r="H56" s="28"/>
    </row>
    <row r="57" spans="1:8" ht="15" x14ac:dyDescent="0.2">
      <c r="A57" s="29" t="s">
        <v>149</v>
      </c>
      <c r="B57" t="s">
        <v>330</v>
      </c>
      <c r="C57" s="51">
        <v>44510</v>
      </c>
      <c r="D57">
        <v>1.6491934656894751</v>
      </c>
      <c r="E57" s="1">
        <v>1.580323123157672</v>
      </c>
      <c r="F57" s="25">
        <v>1834.0817000412828</v>
      </c>
      <c r="G57" s="25">
        <v>50.035296704796053</v>
      </c>
      <c r="H57" s="28">
        <v>1.4491189149162258</v>
      </c>
    </row>
    <row r="58" spans="1:8" ht="15" x14ac:dyDescent="0.2">
      <c r="A58" s="29" t="s">
        <v>150</v>
      </c>
      <c r="B58" t="s">
        <v>330</v>
      </c>
      <c r="C58" s="51">
        <v>43576</v>
      </c>
      <c r="D58">
        <v>2.4244589377951309</v>
      </c>
      <c r="E58" s="1">
        <v>2.4003409357134537</v>
      </c>
      <c r="F58" s="25">
        <v>2785.7729343701931</v>
      </c>
      <c r="G58" s="25">
        <v>36.577641132765358</v>
      </c>
      <c r="H58" s="28">
        <v>1.0593591947947278</v>
      </c>
    </row>
    <row r="59" spans="1:8" ht="15" x14ac:dyDescent="0.2">
      <c r="A59" s="29" t="s">
        <v>151</v>
      </c>
      <c r="B59" t="s">
        <v>330</v>
      </c>
      <c r="C59" s="51">
        <v>44733</v>
      </c>
      <c r="D59">
        <v>1.6926320537638946</v>
      </c>
      <c r="E59" s="1">
        <v>1.6009322476654908</v>
      </c>
      <c r="F59" s="25">
        <v>2588.7640742210397</v>
      </c>
      <c r="G59" s="25">
        <v>93.898418525664169</v>
      </c>
      <c r="H59" s="28">
        <v>2.1200655034541263</v>
      </c>
    </row>
    <row r="60" spans="1:8" ht="15" x14ac:dyDescent="0.2">
      <c r="A60" s="29" t="s">
        <v>152</v>
      </c>
      <c r="B60" t="s">
        <v>330</v>
      </c>
      <c r="C60" s="51">
        <v>44816</v>
      </c>
      <c r="D60">
        <v>1.4994283950216141</v>
      </c>
      <c r="E60" s="1">
        <v>1.2231856511071275</v>
      </c>
      <c r="F60" s="25">
        <v>1883.6665004183496</v>
      </c>
      <c r="G60" s="25">
        <v>789.08360332962411</v>
      </c>
      <c r="H60" s="28">
        <v>18.465770535085447</v>
      </c>
    </row>
    <row r="61" spans="1:8" ht="15" x14ac:dyDescent="0.2">
      <c r="A61" s="29" t="s">
        <v>153</v>
      </c>
      <c r="B61" t="s">
        <v>330</v>
      </c>
      <c r="C61" s="51">
        <v>44067</v>
      </c>
      <c r="D61">
        <v>2.8105459135463908</v>
      </c>
      <c r="E61" s="1">
        <v>2.683925609512765</v>
      </c>
      <c r="F61" s="25">
        <v>4123.5076618338608</v>
      </c>
      <c r="H61" s="28"/>
    </row>
    <row r="62" spans="1:8" ht="15" x14ac:dyDescent="0.2">
      <c r="A62" s="29" t="s">
        <v>154</v>
      </c>
      <c r="B62" t="s">
        <v>330</v>
      </c>
      <c r="C62" s="51">
        <v>43634</v>
      </c>
      <c r="D62">
        <v>2.9794994528706495</v>
      </c>
      <c r="E62" s="1">
        <v>2.9044243092518123</v>
      </c>
      <c r="F62" s="25">
        <v>4759.2367934174181</v>
      </c>
      <c r="H62" s="28"/>
    </row>
    <row r="63" spans="1:8" ht="15" x14ac:dyDescent="0.2">
      <c r="A63" s="29" t="s">
        <v>155</v>
      </c>
      <c r="B63" t="s">
        <v>330</v>
      </c>
      <c r="C63" s="51">
        <v>44153</v>
      </c>
      <c r="D63">
        <v>1.8814292934903927</v>
      </c>
      <c r="E63" s="1">
        <v>1.8485202732578039</v>
      </c>
      <c r="F63" s="25">
        <v>2145.3443005776921</v>
      </c>
      <c r="H63" s="28"/>
    </row>
    <row r="64" spans="1:8" ht="15" x14ac:dyDescent="0.2">
      <c r="A64" s="29" t="s">
        <v>156</v>
      </c>
      <c r="B64" t="s">
        <v>330</v>
      </c>
      <c r="C64" s="51">
        <v>44762</v>
      </c>
      <c r="D64">
        <v>1.4259270031087898</v>
      </c>
      <c r="E64" s="1">
        <v>1.3285990757999431</v>
      </c>
      <c r="F64" s="25">
        <v>2286.0077826035381</v>
      </c>
      <c r="G64" s="25">
        <v>630.61228404034443</v>
      </c>
      <c r="H64" s="28">
        <v>13.610820532175488</v>
      </c>
    </row>
    <row r="65" spans="1:8" ht="15" x14ac:dyDescent="0.2">
      <c r="A65" s="29" t="s">
        <v>157</v>
      </c>
      <c r="B65" t="s">
        <v>330</v>
      </c>
      <c r="C65" s="51">
        <v>44272</v>
      </c>
      <c r="D65">
        <v>3.1835243207708177</v>
      </c>
      <c r="E65" s="1">
        <v>3.0285031075089694</v>
      </c>
      <c r="F65" s="25">
        <v>3514.8015279949636</v>
      </c>
      <c r="H65" s="28"/>
    </row>
    <row r="66" spans="1:8" ht="15" x14ac:dyDescent="0.2">
      <c r="A66" s="29" t="s">
        <v>158</v>
      </c>
      <c r="B66" t="s">
        <v>330</v>
      </c>
      <c r="C66" s="51">
        <v>44166</v>
      </c>
      <c r="D66">
        <v>2.0122368347113913</v>
      </c>
      <c r="E66" s="1">
        <v>1.9651011182479654</v>
      </c>
      <c r="F66" s="25">
        <v>2280.6449813299737</v>
      </c>
      <c r="H66" s="28"/>
    </row>
    <row r="67" spans="1:8" ht="15" x14ac:dyDescent="0.2">
      <c r="A67" s="29" t="s">
        <v>159</v>
      </c>
      <c r="B67" t="s">
        <v>330</v>
      </c>
      <c r="C67" s="51">
        <v>44680</v>
      </c>
      <c r="D67">
        <v>1.6632314969987647</v>
      </c>
      <c r="E67" s="1">
        <v>1.5839936001493482</v>
      </c>
      <c r="F67" s="25">
        <v>1838.3415596751818</v>
      </c>
      <c r="H67" s="28"/>
    </row>
    <row r="68" spans="1:8" ht="15" x14ac:dyDescent="0.2">
      <c r="A68" s="29" t="s">
        <v>160</v>
      </c>
      <c r="B68" t="s">
        <v>330</v>
      </c>
      <c r="C68" s="51">
        <v>44697</v>
      </c>
      <c r="D68">
        <v>1.0836205207719225</v>
      </c>
      <c r="E68" s="1">
        <v>1.0147285366831302</v>
      </c>
      <c r="F68" s="25">
        <v>1496.8953664063818</v>
      </c>
      <c r="H68" s="28"/>
    </row>
    <row r="69" spans="1:8" ht="15" x14ac:dyDescent="0.2">
      <c r="A69" s="29" t="s">
        <v>161</v>
      </c>
      <c r="B69" t="s">
        <v>330</v>
      </c>
      <c r="C69" s="51">
        <v>44111</v>
      </c>
      <c r="D69">
        <v>2.4232982381920105</v>
      </c>
      <c r="E69" s="1">
        <v>2.395399825724374</v>
      </c>
      <c r="F69" s="25">
        <v>3555.6797709087546</v>
      </c>
      <c r="H69" s="28"/>
    </row>
    <row r="70" spans="1:8" ht="15" x14ac:dyDescent="0.2">
      <c r="A70" s="29" t="s">
        <v>162</v>
      </c>
      <c r="B70" t="s">
        <v>330</v>
      </c>
      <c r="C70" s="51">
        <v>44180</v>
      </c>
      <c r="D70">
        <v>1.7697134943275898</v>
      </c>
      <c r="E70" s="1">
        <v>1.727319571221531</v>
      </c>
      <c r="F70" s="25">
        <v>2004.6819345213639</v>
      </c>
      <c r="H70" s="28"/>
    </row>
    <row r="71" spans="1:8" ht="15" x14ac:dyDescent="0.2">
      <c r="A71" s="29" t="s">
        <v>163</v>
      </c>
      <c r="B71" t="s">
        <v>330</v>
      </c>
      <c r="C71" s="51">
        <v>43951</v>
      </c>
      <c r="D71">
        <v>1.3708779299387881</v>
      </c>
      <c r="E71" s="1">
        <v>1.330722634869127</v>
      </c>
      <c r="F71" s="25">
        <v>1544.4018990037109</v>
      </c>
      <c r="H71" s="28"/>
    </row>
    <row r="72" spans="1:8" ht="15" x14ac:dyDescent="0.2">
      <c r="A72" s="29" t="s">
        <v>164</v>
      </c>
      <c r="B72" t="s">
        <v>330</v>
      </c>
      <c r="C72" s="51">
        <v>45168</v>
      </c>
      <c r="D72">
        <v>1.8648353148167971</v>
      </c>
      <c r="E72" s="1">
        <v>1.704498540395023</v>
      </c>
      <c r="F72" s="25">
        <v>2713.9475693067548</v>
      </c>
      <c r="G72" s="25">
        <v>175.47316606844336</v>
      </c>
      <c r="H72" s="28">
        <v>4.0069238015282984</v>
      </c>
    </row>
    <row r="73" spans="1:8" ht="15" x14ac:dyDescent="0.2">
      <c r="A73" s="29" t="s">
        <v>165</v>
      </c>
      <c r="B73" t="s">
        <v>330</v>
      </c>
      <c r="C73" s="51">
        <v>44053</v>
      </c>
      <c r="D73">
        <v>2.9777313464106867</v>
      </c>
      <c r="E73" s="1">
        <v>2.8435889247650268</v>
      </c>
      <c r="F73" s="25">
        <v>5052.7393251395579</v>
      </c>
      <c r="H73" s="28"/>
    </row>
    <row r="74" spans="1:8" ht="15" x14ac:dyDescent="0.2">
      <c r="A74" s="29" t="s">
        <v>166</v>
      </c>
      <c r="B74" t="s">
        <v>330</v>
      </c>
      <c r="C74" s="51">
        <v>45427</v>
      </c>
      <c r="D74">
        <v>1.2495236625180115</v>
      </c>
      <c r="E74" s="1">
        <v>1.1364512258812605</v>
      </c>
      <c r="F74" s="25">
        <v>1599.0273700579971</v>
      </c>
      <c r="H74" s="28"/>
    </row>
    <row r="75" spans="1:8" ht="15" x14ac:dyDescent="0.2">
      <c r="A75" s="29" t="s">
        <v>167</v>
      </c>
      <c r="B75" t="s">
        <v>330</v>
      </c>
      <c r="C75" s="51">
        <v>44704</v>
      </c>
      <c r="D75">
        <v>1.0626201230825445</v>
      </c>
      <c r="E75" s="1">
        <v>0.99223948933838291</v>
      </c>
      <c r="F75" s="25">
        <v>1318.4319524399468</v>
      </c>
      <c r="H75" s="28"/>
    </row>
    <row r="76" spans="1:8" ht="15" x14ac:dyDescent="0.2">
      <c r="A76" s="29" t="s">
        <v>168</v>
      </c>
      <c r="B76" t="s">
        <v>330</v>
      </c>
      <c r="C76" s="51">
        <v>43956</v>
      </c>
      <c r="D76">
        <v>1.3843236784791013</v>
      </c>
      <c r="E76" s="1">
        <v>1.349643314307603</v>
      </c>
      <c r="F76" s="25">
        <v>1566.3607448890496</v>
      </c>
      <c r="H76" s="28"/>
    </row>
    <row r="77" spans="1:8" ht="15" x14ac:dyDescent="0.2">
      <c r="A77" s="29" t="s">
        <v>169</v>
      </c>
      <c r="B77" t="s">
        <v>330</v>
      </c>
      <c r="C77" s="51">
        <v>44481</v>
      </c>
      <c r="D77">
        <v>1.6060578717708975</v>
      </c>
      <c r="E77" s="1">
        <v>1.5475065558386727</v>
      </c>
      <c r="F77" s="25">
        <v>2101.9856189462262</v>
      </c>
      <c r="G77" s="25">
        <v>107.74333685952638</v>
      </c>
      <c r="H77" s="28">
        <v>2.7683634542291515</v>
      </c>
    </row>
    <row r="78" spans="1:8" ht="15" x14ac:dyDescent="0.2">
      <c r="A78" s="29" t="s">
        <v>170</v>
      </c>
      <c r="B78" t="s">
        <v>330</v>
      </c>
      <c r="C78" s="51">
        <v>44244</v>
      </c>
      <c r="D78">
        <v>2.3424648606147289</v>
      </c>
      <c r="E78" s="1">
        <v>2.2402429035077369</v>
      </c>
      <c r="F78" s="25">
        <v>2599.9673438689206</v>
      </c>
      <c r="H78" s="28"/>
    </row>
    <row r="79" spans="1:8" ht="15" x14ac:dyDescent="0.2">
      <c r="A79" s="29" t="s">
        <v>171</v>
      </c>
      <c r="B79" t="s">
        <v>330</v>
      </c>
      <c r="C79" s="51">
        <v>44687</v>
      </c>
      <c r="D79">
        <v>1.2159230262150065</v>
      </c>
      <c r="E79" s="1">
        <v>1.1469614613684067</v>
      </c>
      <c r="F79" s="25">
        <v>1331.1334853755216</v>
      </c>
      <c r="H79" s="28"/>
    </row>
    <row r="80" spans="1:8" ht="15" x14ac:dyDescent="0.2">
      <c r="A80" s="29" t="s">
        <v>172</v>
      </c>
      <c r="B80" t="s">
        <v>330</v>
      </c>
      <c r="C80" s="51">
        <v>44396</v>
      </c>
      <c r="D80">
        <v>1.7737340262716554</v>
      </c>
      <c r="E80" s="1">
        <v>1.7160432126020881</v>
      </c>
      <c r="F80" s="25">
        <v>2965.3482151833568</v>
      </c>
      <c r="G80" s="25">
        <v>171.45887494292933</v>
      </c>
      <c r="H80" s="28">
        <v>3.6892501330708223</v>
      </c>
    </row>
    <row r="81" spans="1:8" ht="15" x14ac:dyDescent="0.2">
      <c r="A81" s="29" t="s">
        <v>173</v>
      </c>
      <c r="B81" t="s">
        <v>330</v>
      </c>
      <c r="C81" s="51">
        <v>45398</v>
      </c>
      <c r="D81">
        <v>2.1567408426991563</v>
      </c>
      <c r="E81" s="1">
        <v>2.0906881314853849</v>
      </c>
      <c r="F81" s="25">
        <v>2426.3979854886129</v>
      </c>
      <c r="H81" s="28"/>
    </row>
    <row r="82" spans="1:8" ht="15" x14ac:dyDescent="0.2">
      <c r="A82" s="29" t="s">
        <v>174</v>
      </c>
      <c r="B82" t="s">
        <v>330</v>
      </c>
      <c r="C82" s="51">
        <v>44411</v>
      </c>
      <c r="D82">
        <v>1.5863173303695683</v>
      </c>
      <c r="E82" s="1">
        <v>1.5388699029313329</v>
      </c>
      <c r="F82" s="25">
        <v>2584.909722440565</v>
      </c>
      <c r="G82" s="25">
        <v>132.37395821516429</v>
      </c>
      <c r="H82" s="28">
        <v>2.9071892218840754</v>
      </c>
    </row>
    <row r="83" spans="1:8" ht="15" x14ac:dyDescent="0.2">
      <c r="A83" s="29" t="s">
        <v>175</v>
      </c>
      <c r="B83" t="s">
        <v>330</v>
      </c>
      <c r="C83" s="51">
        <v>45602</v>
      </c>
      <c r="D83">
        <v>1.3482255316580896</v>
      </c>
      <c r="E83" s="1">
        <v>1.197858482639238</v>
      </c>
      <c r="F83" s="25">
        <v>1390.203237587285</v>
      </c>
      <c r="G83" s="25">
        <v>61.489508239737845</v>
      </c>
      <c r="H83" s="28">
        <v>1.7808550229014664</v>
      </c>
    </row>
    <row r="84" spans="1:8" ht="15" x14ac:dyDescent="0.2">
      <c r="A84" s="29" t="s">
        <v>176</v>
      </c>
      <c r="B84" t="s">
        <v>330</v>
      </c>
      <c r="C84" s="51">
        <v>44315</v>
      </c>
      <c r="D84">
        <v>1.5314441834092085</v>
      </c>
      <c r="E84" s="1">
        <v>1.4894896978758574</v>
      </c>
      <c r="F84" s="25">
        <v>1728.6628014501105</v>
      </c>
      <c r="H84" s="28"/>
    </row>
    <row r="85" spans="1:8" ht="15" x14ac:dyDescent="0.2">
      <c r="A85" s="29" t="s">
        <v>177</v>
      </c>
      <c r="B85" t="s">
        <v>330</v>
      </c>
      <c r="C85" s="51">
        <v>44656</v>
      </c>
      <c r="D85">
        <v>2.1882414392332241</v>
      </c>
      <c r="E85" s="1">
        <v>1.9898009166534183</v>
      </c>
      <c r="F85" s="25">
        <v>2309.3109215964378</v>
      </c>
      <c r="H85" s="28"/>
    </row>
    <row r="86" spans="1:8" ht="15" x14ac:dyDescent="0.2">
      <c r="A86" s="29" t="s">
        <v>178</v>
      </c>
      <c r="B86" t="s">
        <v>330</v>
      </c>
      <c r="C86" s="51">
        <v>44330</v>
      </c>
      <c r="D86">
        <v>1.2981455304767053</v>
      </c>
      <c r="E86" s="1">
        <v>1.2533591276347422</v>
      </c>
      <c r="F86" s="25">
        <v>1791.3724177259346</v>
      </c>
      <c r="H86" s="28"/>
    </row>
    <row r="87" spans="1:8" ht="15" x14ac:dyDescent="0.2">
      <c r="A87" s="29" t="s">
        <v>179</v>
      </c>
      <c r="B87" t="s">
        <v>330</v>
      </c>
      <c r="C87" s="51">
        <v>44307</v>
      </c>
      <c r="D87">
        <v>2.1400053547486646</v>
      </c>
      <c r="E87" s="1">
        <v>2.0909877824292238</v>
      </c>
      <c r="F87" s="25">
        <v>2426.7457525398195</v>
      </c>
      <c r="H87" s="28"/>
    </row>
    <row r="88" spans="1:8" ht="15" x14ac:dyDescent="0.2">
      <c r="A88" s="29" t="s">
        <v>180</v>
      </c>
      <c r="B88" t="s">
        <v>330</v>
      </c>
      <c r="C88" s="51">
        <v>45183</v>
      </c>
      <c r="D88">
        <v>1.8984359511198023</v>
      </c>
      <c r="E88" s="1">
        <v>1.5947885010332516</v>
      </c>
      <c r="F88" s="25">
        <v>2259.411642537852</v>
      </c>
      <c r="G88" s="25">
        <v>252.07141652005089</v>
      </c>
      <c r="H88" s="28">
        <v>6.2753938902242146</v>
      </c>
    </row>
    <row r="89" spans="1:8" ht="15" x14ac:dyDescent="0.2">
      <c r="A89" s="29" t="s">
        <v>181</v>
      </c>
      <c r="B89" t="s">
        <v>330</v>
      </c>
      <c r="C89" s="51">
        <v>44452</v>
      </c>
      <c r="D89">
        <v>1.5774458133965834</v>
      </c>
      <c r="E89" s="1">
        <v>1.5191767166669765</v>
      </c>
      <c r="F89" s="25">
        <v>2253.4709482694734</v>
      </c>
      <c r="G89" s="25">
        <v>159.59705321169091</v>
      </c>
      <c r="H89" s="28">
        <v>3.8396542742465845</v>
      </c>
    </row>
    <row r="90" spans="1:8" ht="15" x14ac:dyDescent="0.2">
      <c r="A90" s="29" t="s">
        <v>174</v>
      </c>
      <c r="B90" t="s">
        <v>330</v>
      </c>
      <c r="C90" s="51">
        <v>44411</v>
      </c>
      <c r="D90">
        <v>1.9550071502140505</v>
      </c>
      <c r="E90" s="1">
        <v>1.8965320531290295</v>
      </c>
      <c r="F90" s="25">
        <v>3185.6910929995274</v>
      </c>
      <c r="G90" s="25">
        <v>170.50516453829067</v>
      </c>
      <c r="H90" s="28">
        <v>3.7446245719689064</v>
      </c>
    </row>
    <row r="91" spans="1:8" ht="15" x14ac:dyDescent="0.2">
      <c r="A91" s="29" t="s">
        <v>182</v>
      </c>
      <c r="B91" t="s">
        <v>330</v>
      </c>
      <c r="C91" s="51">
        <v>44384</v>
      </c>
      <c r="D91">
        <v>2.9078267030460601</v>
      </c>
      <c r="E91" s="1">
        <v>2.7860939310487192</v>
      </c>
      <c r="F91" s="25">
        <v>5493.6814086595041</v>
      </c>
      <c r="G91" s="25">
        <v>233.26388829724587</v>
      </c>
      <c r="H91" s="28">
        <v>4.5697620099658183</v>
      </c>
    </row>
    <row r="92" spans="1:8" ht="15" x14ac:dyDescent="0.2">
      <c r="A92" s="29" t="s">
        <v>183</v>
      </c>
      <c r="B92" t="s">
        <v>330</v>
      </c>
      <c r="C92" s="51">
        <v>45517</v>
      </c>
      <c r="D92">
        <v>2.1483406836234047</v>
      </c>
      <c r="E92" s="1">
        <v>2.0340597543345234</v>
      </c>
      <c r="F92" s="25">
        <v>3560.6874056282718</v>
      </c>
      <c r="G92" s="25">
        <v>285.43018735895197</v>
      </c>
      <c r="H92" s="28">
        <v>6.0845879949133428</v>
      </c>
    </row>
    <row r="93" spans="1:8" ht="15" x14ac:dyDescent="0.2">
      <c r="A93" s="29" t="s">
        <v>184</v>
      </c>
      <c r="B93" t="s">
        <v>330</v>
      </c>
      <c r="C93" s="51">
        <v>44545</v>
      </c>
      <c r="D93">
        <v>1.7834821208483871</v>
      </c>
      <c r="E93" s="1">
        <v>1.6525437944796415</v>
      </c>
      <c r="F93" s="25">
        <v>1917.8991230070706</v>
      </c>
      <c r="H93" s="28"/>
    </row>
    <row r="94" spans="1:8" ht="15" x14ac:dyDescent="0.2">
      <c r="A94" s="29" t="s">
        <v>185</v>
      </c>
      <c r="B94" t="s">
        <v>330</v>
      </c>
      <c r="C94" s="51">
        <v>44286</v>
      </c>
      <c r="D94">
        <v>3.0267933780116043</v>
      </c>
      <c r="E94" s="1">
        <v>2.9320081747110778</v>
      </c>
      <c r="F94" s="25">
        <v>3402.8120317976918</v>
      </c>
      <c r="H94" s="28"/>
    </row>
    <row r="95" spans="1:8" ht="15" x14ac:dyDescent="0.2">
      <c r="A95" s="29" t="s">
        <v>186</v>
      </c>
      <c r="B95" t="s">
        <v>330</v>
      </c>
      <c r="C95" s="51">
        <v>44426</v>
      </c>
      <c r="D95">
        <v>1.8953131109717287</v>
      </c>
      <c r="E95" s="1">
        <v>1.8720072595669572</v>
      </c>
      <c r="F95" s="25">
        <v>3195.973101335454</v>
      </c>
      <c r="G95" s="25">
        <v>228.64544059992238</v>
      </c>
      <c r="H95" s="28">
        <v>4.96284016333927</v>
      </c>
    </row>
    <row r="96" spans="1:8" ht="15" x14ac:dyDescent="0.2">
      <c r="A96" s="29" t="s">
        <v>187</v>
      </c>
      <c r="B96" t="s">
        <v>330</v>
      </c>
      <c r="C96" s="51">
        <v>44125</v>
      </c>
      <c r="D96">
        <v>1.5420645121515228</v>
      </c>
      <c r="E96" s="1">
        <v>1.5046161053361939</v>
      </c>
      <c r="F96" s="25">
        <v>1838.1398649160496</v>
      </c>
      <c r="H96" s="28"/>
    </row>
    <row r="97" spans="1:8" ht="15" x14ac:dyDescent="0.2">
      <c r="A97" s="29" t="s">
        <v>188</v>
      </c>
      <c r="B97" t="s">
        <v>330</v>
      </c>
      <c r="C97" s="51">
        <v>44677</v>
      </c>
      <c r="D97">
        <v>1.4448273610292302</v>
      </c>
      <c r="E97" s="1">
        <v>1.3942681634686194</v>
      </c>
      <c r="F97" s="25">
        <v>1618.1511781327176</v>
      </c>
      <c r="H97" s="28"/>
    </row>
    <row r="98" spans="1:8" ht="15" x14ac:dyDescent="0.2">
      <c r="A98" s="29" t="s">
        <v>189</v>
      </c>
      <c r="B98" t="s">
        <v>330</v>
      </c>
      <c r="C98" s="51">
        <v>44494</v>
      </c>
      <c r="D98">
        <v>1.1883493648870964</v>
      </c>
      <c r="E98" s="1">
        <v>1.1507035997887425</v>
      </c>
      <c r="F98" s="25">
        <v>1357.6280865975932</v>
      </c>
      <c r="G98" s="25">
        <v>54.429992298808457</v>
      </c>
      <c r="H98" s="28">
        <v>1.5565908604700789</v>
      </c>
    </row>
    <row r="99" spans="1:8" ht="15" x14ac:dyDescent="0.2">
      <c r="A99" s="29" t="s">
        <v>190</v>
      </c>
      <c r="B99" t="s">
        <v>330</v>
      </c>
      <c r="C99" s="51">
        <v>44313</v>
      </c>
      <c r="D99">
        <v>1.550347380826024</v>
      </c>
      <c r="E99" s="1">
        <v>1.5078750351374348</v>
      </c>
      <c r="F99" s="25">
        <v>1750.0003432011733</v>
      </c>
      <c r="H99" s="28"/>
    </row>
    <row r="100" spans="1:8" ht="15" x14ac:dyDescent="0.2">
      <c r="A100" s="29" t="s">
        <v>191</v>
      </c>
      <c r="B100" t="s">
        <v>330</v>
      </c>
      <c r="C100" s="51">
        <v>44747</v>
      </c>
      <c r="D100">
        <v>1.9614371441879372</v>
      </c>
      <c r="E100" s="1">
        <v>1.7360532962443427</v>
      </c>
      <c r="F100" s="25">
        <v>3335.127044447016</v>
      </c>
      <c r="G100" s="25">
        <v>692.79202768510993</v>
      </c>
      <c r="H100" s="28">
        <v>13.822827082520904</v>
      </c>
    </row>
    <row r="101" spans="1:8" ht="15" x14ac:dyDescent="0.2">
      <c r="A101" s="29" t="s">
        <v>192</v>
      </c>
      <c r="B101" t="s">
        <v>330</v>
      </c>
      <c r="C101" s="51">
        <v>44306</v>
      </c>
      <c r="D101">
        <v>1.9286386338091717</v>
      </c>
      <c r="E101" s="1">
        <v>1.8803219783798519</v>
      </c>
      <c r="F101" s="25">
        <v>2182.252528103917</v>
      </c>
      <c r="H101" s="28"/>
    </row>
    <row r="102" spans="1:8" ht="15" x14ac:dyDescent="0.2">
      <c r="A102" s="29" t="s">
        <v>193</v>
      </c>
      <c r="B102" t="s">
        <v>330</v>
      </c>
      <c r="C102" s="51">
        <v>44294</v>
      </c>
      <c r="D102">
        <v>2.4026615905499971</v>
      </c>
      <c r="E102" s="1">
        <v>2.3222336932752712</v>
      </c>
      <c r="F102" s="25">
        <v>2695.1237108681539</v>
      </c>
      <c r="H102" s="28"/>
    </row>
    <row r="103" spans="1:8" ht="15" x14ac:dyDescent="0.2">
      <c r="A103" s="29" t="s">
        <v>194</v>
      </c>
      <c r="B103" t="s">
        <v>330</v>
      </c>
      <c r="C103" s="51">
        <v>43789</v>
      </c>
      <c r="D103">
        <v>1.4539827146103448</v>
      </c>
      <c r="E103" s="1">
        <v>1.4322622908158966</v>
      </c>
      <c r="F103" s="25">
        <v>1662.2461689960051</v>
      </c>
      <c r="H103" s="28"/>
    </row>
    <row r="104" spans="1:8" ht="15" x14ac:dyDescent="0.2">
      <c r="A104" s="29" t="s">
        <v>195</v>
      </c>
      <c r="B104" t="s">
        <v>330</v>
      </c>
      <c r="C104" s="51">
        <v>44805</v>
      </c>
      <c r="D104">
        <v>1.4406272814913545</v>
      </c>
      <c r="E104" s="1">
        <v>1.2226175176947007</v>
      </c>
      <c r="F104" s="25">
        <v>1865.3429295980854</v>
      </c>
      <c r="G104" s="25">
        <v>1208.3697036101405</v>
      </c>
      <c r="H104" s="28">
        <v>28.472479711388917</v>
      </c>
    </row>
    <row r="105" spans="1:8" x14ac:dyDescent="0.15">
      <c r="A105" s="25" t="s">
        <v>196</v>
      </c>
      <c r="B105" t="s">
        <v>330</v>
      </c>
      <c r="C105" s="51">
        <v>44216</v>
      </c>
      <c r="D105">
        <v>2.4356570733959129</v>
      </c>
      <c r="E105" s="1">
        <v>2.3559155017331945</v>
      </c>
      <c r="F105" s="25">
        <v>2734.2139371717085</v>
      </c>
      <c r="H105" s="28"/>
    </row>
    <row r="106" spans="1:8" x14ac:dyDescent="0.15">
      <c r="A106" t="s">
        <v>197</v>
      </c>
      <c r="B106" t="s">
        <v>330</v>
      </c>
      <c r="C106" s="51">
        <v>44299</v>
      </c>
      <c r="D106">
        <v>1.965308460622307</v>
      </c>
      <c r="E106" s="1">
        <v>1.8884909068812215</v>
      </c>
      <c r="F106" s="25">
        <v>2191.7331729503776</v>
      </c>
      <c r="H106" s="28"/>
    </row>
    <row r="107" spans="1:8" x14ac:dyDescent="0.15">
      <c r="A107" t="s">
        <v>176</v>
      </c>
      <c r="B107" t="s">
        <v>330</v>
      </c>
      <c r="C107" s="51">
        <v>44315</v>
      </c>
      <c r="D107">
        <v>1.6111247310141517</v>
      </c>
      <c r="E107" s="1">
        <v>1.5707624997918519</v>
      </c>
      <c r="F107" s="25">
        <v>1822.9858905202527</v>
      </c>
      <c r="H107" s="28"/>
    </row>
    <row r="108" spans="1:8" x14ac:dyDescent="0.15">
      <c r="A108" t="s">
        <v>198</v>
      </c>
      <c r="B108" t="s">
        <v>330</v>
      </c>
      <c r="C108" s="51">
        <v>45489</v>
      </c>
      <c r="D108">
        <v>3.5196666527398111</v>
      </c>
      <c r="E108" s="1">
        <v>2.9780454462177013</v>
      </c>
      <c r="F108" s="25">
        <v>5427.034777281714</v>
      </c>
      <c r="H108" s="28"/>
    </row>
    <row r="109" spans="1:8" x14ac:dyDescent="0.15">
      <c r="A109" t="s">
        <v>199</v>
      </c>
      <c r="B109" t="s">
        <v>330</v>
      </c>
      <c r="C109" s="51">
        <v>45049</v>
      </c>
      <c r="D109">
        <v>1.1886225092188145</v>
      </c>
      <c r="E109" s="1">
        <v>1.1460967122508687</v>
      </c>
      <c r="F109" s="25">
        <v>1330.1298801581061</v>
      </c>
      <c r="H109" s="28"/>
    </row>
    <row r="110" spans="1:8" x14ac:dyDescent="0.15">
      <c r="A110" t="s">
        <v>200</v>
      </c>
      <c r="B110" s="52" t="s">
        <v>331</v>
      </c>
      <c r="C110" s="53">
        <v>44272</v>
      </c>
      <c r="D110" s="52">
        <v>2.3711332078952299</v>
      </c>
      <c r="E110" s="54">
        <v>2.3192039757223912</v>
      </c>
      <c r="F110" s="55">
        <v>2691.6074998866129</v>
      </c>
      <c r="G110" s="55"/>
      <c r="H110" s="56"/>
    </row>
    <row r="111" spans="1:8" x14ac:dyDescent="0.15">
      <c r="A111" t="s">
        <v>201</v>
      </c>
      <c r="B111" s="52" t="s">
        <v>331</v>
      </c>
      <c r="C111" s="53">
        <v>44053</v>
      </c>
      <c r="D111" s="52">
        <v>4.6347300245487606</v>
      </c>
      <c r="E111" s="54">
        <v>4.5451285203359912</v>
      </c>
      <c r="F111" s="55">
        <v>8076.1847862425211</v>
      </c>
      <c r="G111" s="55"/>
      <c r="H111" s="56"/>
    </row>
    <row r="112" spans="1:8" x14ac:dyDescent="0.15">
      <c r="A112" t="s">
        <v>202</v>
      </c>
      <c r="B112" s="52" t="s">
        <v>331</v>
      </c>
      <c r="C112" s="53">
        <v>45049</v>
      </c>
      <c r="D112" s="52">
        <v>1.8837356727372376</v>
      </c>
      <c r="E112" s="54">
        <v>1.8597082434912948</v>
      </c>
      <c r="F112" s="55">
        <v>2158.3287663272354</v>
      </c>
      <c r="G112" s="55"/>
      <c r="H112" s="56"/>
    </row>
    <row r="113" spans="1:8" x14ac:dyDescent="0.15">
      <c r="A113" s="25" t="s">
        <v>203</v>
      </c>
      <c r="B113" s="52" t="s">
        <v>331</v>
      </c>
      <c r="C113" s="53">
        <v>44307</v>
      </c>
      <c r="D113" s="52">
        <v>2.9473881446437118</v>
      </c>
      <c r="E113" s="54">
        <v>2.9167120574680987</v>
      </c>
      <c r="F113" s="55">
        <v>3385.0597580342242</v>
      </c>
      <c r="G113" s="55"/>
      <c r="H113" s="56"/>
    </row>
    <row r="114" spans="1:8" x14ac:dyDescent="0.15">
      <c r="A114" s="25" t="s">
        <v>204</v>
      </c>
      <c r="B114" s="52" t="s">
        <v>331</v>
      </c>
      <c r="C114" s="53">
        <v>44111</v>
      </c>
      <c r="D114" s="52">
        <v>2.9920457639022926</v>
      </c>
      <c r="E114" s="54">
        <v>2.9737517827959734</v>
      </c>
      <c r="F114" s="55">
        <v>4414.1729260558723</v>
      </c>
      <c r="G114" s="55"/>
      <c r="H114" s="56"/>
    </row>
    <row r="115" spans="1:8" x14ac:dyDescent="0.15">
      <c r="A115" s="25" t="s">
        <v>205</v>
      </c>
      <c r="B115" s="52" t="s">
        <v>331</v>
      </c>
      <c r="C115" s="53">
        <v>44330</v>
      </c>
      <c r="D115" s="52">
        <v>2.1701205285821477</v>
      </c>
      <c r="E115" s="54">
        <v>2.1395765972196745</v>
      </c>
      <c r="F115" s="55">
        <v>3058.0050181660281</v>
      </c>
      <c r="G115" s="55"/>
      <c r="H115" s="56"/>
    </row>
    <row r="116" spans="1:8" x14ac:dyDescent="0.15">
      <c r="A116" s="25" t="s">
        <v>206</v>
      </c>
      <c r="B116" s="52" t="s">
        <v>331</v>
      </c>
      <c r="C116" s="53">
        <v>44601</v>
      </c>
      <c r="D116" s="52">
        <v>1.9089361499644923</v>
      </c>
      <c r="E116" s="54">
        <v>1.8542531675858986</v>
      </c>
      <c r="F116" s="55">
        <v>2151.9977478514493</v>
      </c>
      <c r="G116" s="55"/>
      <c r="H116" s="56"/>
    </row>
    <row r="117" spans="1:8" x14ac:dyDescent="0.15">
      <c r="A117" s="25" t="s">
        <v>207</v>
      </c>
      <c r="B117" s="52" t="s">
        <v>331</v>
      </c>
      <c r="C117" s="53">
        <v>44510</v>
      </c>
      <c r="D117" s="52">
        <v>2.4583609545750957</v>
      </c>
      <c r="E117" s="54">
        <v>2.4240402630045526</v>
      </c>
      <c r="F117" s="55">
        <v>2813.2777540181146</v>
      </c>
      <c r="G117" s="55"/>
      <c r="H117" s="56"/>
    </row>
    <row r="118" spans="1:8" x14ac:dyDescent="0.15">
      <c r="A118" s="25" t="s">
        <v>208</v>
      </c>
      <c r="B118" s="52" t="s">
        <v>331</v>
      </c>
      <c r="C118" s="53">
        <v>44494</v>
      </c>
      <c r="D118" s="52">
        <v>1.9327864209432342</v>
      </c>
      <c r="E118" s="54">
        <v>1.9124327711479958</v>
      </c>
      <c r="F118" s="55">
        <v>2256.3346845502651</v>
      </c>
      <c r="G118" s="55"/>
      <c r="H118" s="56"/>
    </row>
    <row r="119" spans="1:8" x14ac:dyDescent="0.15">
      <c r="A119" t="s">
        <v>209</v>
      </c>
      <c r="B119" s="52" t="s">
        <v>331</v>
      </c>
      <c r="C119" s="53">
        <v>44426</v>
      </c>
      <c r="D119" s="52">
        <v>2.5451288109277375</v>
      </c>
      <c r="E119" s="54">
        <v>2.5288794791986229</v>
      </c>
      <c r="F119" s="55">
        <v>4317.4142358334848</v>
      </c>
      <c r="G119" s="55"/>
      <c r="H119" s="56"/>
    </row>
    <row r="120" spans="1:8" x14ac:dyDescent="0.15">
      <c r="A120" t="s">
        <v>210</v>
      </c>
      <c r="B120" s="52" t="s">
        <v>331</v>
      </c>
      <c r="C120" s="53">
        <v>45398</v>
      </c>
      <c r="D120" s="52">
        <v>2.9085550799789019</v>
      </c>
      <c r="E120" s="54">
        <v>2.8754187117516055</v>
      </c>
      <c r="F120" s="55">
        <v>3337.1357805879088</v>
      </c>
      <c r="G120" s="55"/>
      <c r="H120" s="56"/>
    </row>
    <row r="121" spans="1:8" x14ac:dyDescent="0.15">
      <c r="A121" t="s">
        <v>211</v>
      </c>
      <c r="B121" s="52" t="s">
        <v>331</v>
      </c>
      <c r="C121" s="53">
        <v>44320</v>
      </c>
      <c r="D121" s="52">
        <v>2.321211749247337</v>
      </c>
      <c r="E121" s="54">
        <v>2.2947668220785022</v>
      </c>
      <c r="F121" s="55">
        <v>2663.2463782637142</v>
      </c>
      <c r="G121" s="55"/>
      <c r="H121" s="56"/>
    </row>
    <row r="122" spans="1:8" x14ac:dyDescent="0.15">
      <c r="A122" t="s">
        <v>212</v>
      </c>
      <c r="B122" s="52" t="s">
        <v>331</v>
      </c>
      <c r="C122" s="53">
        <v>44138</v>
      </c>
      <c r="D122" s="52">
        <v>2.6988475661420082</v>
      </c>
      <c r="E122" s="54">
        <v>2.6839272156248328</v>
      </c>
      <c r="F122" s="55">
        <v>3114.8957566250388</v>
      </c>
      <c r="G122" s="55"/>
      <c r="H122" s="56"/>
    </row>
    <row r="123" spans="1:8" x14ac:dyDescent="0.15">
      <c r="A123" t="s">
        <v>213</v>
      </c>
      <c r="B123" s="52" t="s">
        <v>331</v>
      </c>
      <c r="C123" s="53">
        <v>45489</v>
      </c>
      <c r="D123" s="52">
        <v>5.0463955647576171</v>
      </c>
      <c r="E123" s="54">
        <v>4.9278933583447442</v>
      </c>
      <c r="F123" s="55">
        <v>8980.335967820376</v>
      </c>
      <c r="G123" s="55"/>
      <c r="H123" s="56"/>
    </row>
    <row r="124" spans="1:8" x14ac:dyDescent="0.15">
      <c r="A124" t="s">
        <v>214</v>
      </c>
      <c r="B124" s="52" t="s">
        <v>331</v>
      </c>
      <c r="C124" s="53">
        <v>44680</v>
      </c>
      <c r="D124" s="52">
        <v>2.8224534494524498</v>
      </c>
      <c r="E124" s="54">
        <v>2.7719604074857136</v>
      </c>
      <c r="F124" s="55">
        <v>3217.0647775184666</v>
      </c>
      <c r="G124" s="55"/>
      <c r="H124" s="56"/>
    </row>
    <row r="125" spans="1:8" x14ac:dyDescent="0.15">
      <c r="A125" t="s">
        <v>215</v>
      </c>
      <c r="B125" s="52" t="s">
        <v>331</v>
      </c>
      <c r="C125" s="53">
        <v>44481</v>
      </c>
      <c r="D125" s="52">
        <v>2.4834912495054833</v>
      </c>
      <c r="E125" s="54">
        <v>2.4559239167636169</v>
      </c>
      <c r="F125" s="55">
        <v>3335.8933018965395</v>
      </c>
      <c r="G125" s="55"/>
      <c r="H125" s="56"/>
    </row>
    <row r="126" spans="1:8" x14ac:dyDescent="0.15">
      <c r="A126" t="s">
        <v>216</v>
      </c>
      <c r="B126" s="52" t="s">
        <v>331</v>
      </c>
      <c r="C126" s="53">
        <v>44313</v>
      </c>
      <c r="D126" s="52">
        <v>2.588283680706378</v>
      </c>
      <c r="E126" s="54">
        <v>2.556006938282875</v>
      </c>
      <c r="F126" s="55">
        <v>2966.4348271486033</v>
      </c>
      <c r="G126" s="55"/>
      <c r="H126" s="56"/>
    </row>
    <row r="127" spans="1:8" x14ac:dyDescent="0.15">
      <c r="A127" t="s">
        <v>217</v>
      </c>
      <c r="B127" s="52" t="s">
        <v>331</v>
      </c>
      <c r="C127" s="53">
        <v>45168</v>
      </c>
      <c r="D127" s="52">
        <v>2.8476539266797034</v>
      </c>
      <c r="E127" s="54">
        <v>2.8074840393663343</v>
      </c>
      <c r="F127" s="55">
        <v>4470.1501960453188</v>
      </c>
      <c r="G127" s="55"/>
      <c r="H127" s="56"/>
    </row>
    <row r="128" spans="1:8" x14ac:dyDescent="0.15">
      <c r="A128" t="s">
        <v>218</v>
      </c>
      <c r="B128" s="52" t="s">
        <v>331</v>
      </c>
      <c r="C128" s="53">
        <v>44315</v>
      </c>
      <c r="D128" s="52">
        <v>2.3997155886834141</v>
      </c>
      <c r="E128" s="54">
        <v>2.3704587926535705</v>
      </c>
      <c r="F128" s="55">
        <v>2751.0925003874017</v>
      </c>
      <c r="G128" s="55"/>
      <c r="H128" s="56"/>
    </row>
    <row r="129" spans="1:8" x14ac:dyDescent="0.15">
      <c r="A129" t="s">
        <v>219</v>
      </c>
      <c r="B129" s="52" t="s">
        <v>331</v>
      </c>
      <c r="C129" s="53">
        <v>44733</v>
      </c>
      <c r="D129" s="52">
        <v>1.9698373032636889</v>
      </c>
      <c r="E129" s="54">
        <v>1.9436155995800579</v>
      </c>
      <c r="F129" s="55">
        <v>3142.895175998583</v>
      </c>
      <c r="G129" s="55"/>
      <c r="H129" s="56"/>
    </row>
    <row r="130" spans="1:8" x14ac:dyDescent="0.15">
      <c r="A130" t="s">
        <v>220</v>
      </c>
      <c r="B130" s="52" t="s">
        <v>331</v>
      </c>
      <c r="C130" s="53">
        <v>44216</v>
      </c>
      <c r="D130" s="52">
        <v>2.6300202744712231</v>
      </c>
      <c r="E130" s="54">
        <v>2.5860436121474235</v>
      </c>
      <c r="F130" s="55">
        <v>3001.2946055431644</v>
      </c>
      <c r="G130" s="55"/>
      <c r="H130" s="56"/>
    </row>
    <row r="131" spans="1:8" x14ac:dyDescent="0.15">
      <c r="A131" t="s">
        <v>221</v>
      </c>
      <c r="B131" s="52" t="s">
        <v>331</v>
      </c>
      <c r="C131" s="53">
        <v>43951</v>
      </c>
      <c r="D131" s="52">
        <v>2.0166856773924247</v>
      </c>
      <c r="E131" s="54">
        <v>1.9931850203247927</v>
      </c>
      <c r="F131" s="55">
        <v>2313.2384238418699</v>
      </c>
      <c r="G131" s="55"/>
      <c r="H131" s="56"/>
    </row>
    <row r="132" spans="1:8" x14ac:dyDescent="0.15">
      <c r="A132" t="s">
        <v>222</v>
      </c>
      <c r="B132" s="52" t="s">
        <v>331</v>
      </c>
      <c r="C132" s="53">
        <v>44323</v>
      </c>
      <c r="D132" s="52">
        <v>2.0599153062791791</v>
      </c>
      <c r="E132" s="54">
        <v>2.0353623204450324</v>
      </c>
      <c r="F132" s="55">
        <v>2362.1882956586624</v>
      </c>
      <c r="G132" s="55"/>
      <c r="H132" s="56"/>
    </row>
    <row r="133" spans="1:8" x14ac:dyDescent="0.15">
      <c r="A133" t="s">
        <v>223</v>
      </c>
      <c r="B133" s="52" t="s">
        <v>331</v>
      </c>
      <c r="C133" s="53">
        <v>44440</v>
      </c>
      <c r="D133" s="52">
        <v>2.3090452643677746</v>
      </c>
      <c r="E133" s="54">
        <v>2.2807331051705853</v>
      </c>
      <c r="F133" s="55">
        <v>3479.7058854939373</v>
      </c>
      <c r="G133" s="55">
        <v>83.012172484881219</v>
      </c>
      <c r="H133" s="56">
        <v>1.9559927643110291</v>
      </c>
    </row>
    <row r="134" spans="1:8" x14ac:dyDescent="0.15">
      <c r="A134" t="s">
        <v>224</v>
      </c>
      <c r="B134" s="52" t="s">
        <v>331</v>
      </c>
      <c r="C134" s="53">
        <v>43789</v>
      </c>
      <c r="D134" s="52">
        <v>1.2726373809154419</v>
      </c>
      <c r="E134" s="54">
        <v>1.2623082996917583</v>
      </c>
      <c r="F134" s="55">
        <v>1465.0020102527419</v>
      </c>
      <c r="G134" s="55"/>
      <c r="H134" s="56"/>
    </row>
    <row r="135" spans="1:8" x14ac:dyDescent="0.15">
      <c r="A135" t="s">
        <v>225</v>
      </c>
      <c r="B135" s="52" t="s">
        <v>331</v>
      </c>
      <c r="C135" s="53">
        <v>44125</v>
      </c>
      <c r="D135" s="52">
        <v>2.4373522925548619</v>
      </c>
      <c r="E135" s="54">
        <v>2.4091989486467202</v>
      </c>
      <c r="F135" s="55">
        <v>2943.2388861954078</v>
      </c>
      <c r="G135" s="55"/>
      <c r="H135" s="56"/>
    </row>
    <row r="136" spans="1:8" x14ac:dyDescent="0.15">
      <c r="A136" t="s">
        <v>226</v>
      </c>
      <c r="B136" s="52" t="s">
        <v>331</v>
      </c>
      <c r="C136" s="53">
        <v>44677</v>
      </c>
      <c r="D136" s="52">
        <v>2.219742035767291</v>
      </c>
      <c r="E136" s="54">
        <v>2.1858258483147348</v>
      </c>
      <c r="F136" s="55">
        <v>2536.8123323164741</v>
      </c>
      <c r="G136" s="55"/>
      <c r="H136" s="56"/>
    </row>
    <row r="137" spans="1:8" x14ac:dyDescent="0.15">
      <c r="A137" t="s">
        <v>227</v>
      </c>
      <c r="B137" s="52" t="s">
        <v>331</v>
      </c>
      <c r="C137" s="53">
        <v>45183</v>
      </c>
      <c r="D137" s="52">
        <v>3.0198571877326059</v>
      </c>
      <c r="E137" s="54">
        <v>2.9535697475403619</v>
      </c>
      <c r="F137" s="55">
        <v>4184.4607421715655</v>
      </c>
      <c r="G137" s="55"/>
      <c r="H137" s="56"/>
    </row>
    <row r="138" spans="1:8" x14ac:dyDescent="0.15">
      <c r="A138" t="s">
        <v>228</v>
      </c>
      <c r="B138" s="52" t="s">
        <v>331</v>
      </c>
      <c r="C138" s="53">
        <v>44656</v>
      </c>
      <c r="D138" s="52">
        <v>2.3814450979755053</v>
      </c>
      <c r="E138" s="54">
        <v>2.2962432362058043</v>
      </c>
      <c r="F138" s="55">
        <v>2664.9598658998102</v>
      </c>
      <c r="G138" s="55"/>
      <c r="H138" s="56"/>
    </row>
    <row r="139" spans="1:8" x14ac:dyDescent="0.15">
      <c r="A139" t="s">
        <v>229</v>
      </c>
      <c r="B139" s="52" t="s">
        <v>331</v>
      </c>
      <c r="C139" s="53">
        <v>44452</v>
      </c>
      <c r="D139" s="52">
        <v>2.4958652824677645</v>
      </c>
      <c r="E139" s="54">
        <v>2.4622243842911802</v>
      </c>
      <c r="F139" s="55">
        <v>3652.3408088390165</v>
      </c>
      <c r="G139" s="55"/>
      <c r="H139" s="56"/>
    </row>
    <row r="140" spans="1:8" x14ac:dyDescent="0.15">
      <c r="A140" t="s">
        <v>230</v>
      </c>
      <c r="B140" s="52" t="s">
        <v>331</v>
      </c>
      <c r="C140" s="53">
        <v>45602</v>
      </c>
      <c r="D140" s="52">
        <v>2.045438734945451</v>
      </c>
      <c r="E140" s="54">
        <v>2.0044907331753512</v>
      </c>
      <c r="F140" s="55">
        <v>2326.359538594465</v>
      </c>
      <c r="G140" s="55"/>
      <c r="H140" s="56"/>
    </row>
    <row r="141" spans="1:8" x14ac:dyDescent="0.15">
      <c r="A141" t="s">
        <v>231</v>
      </c>
      <c r="B141" s="52" t="s">
        <v>331</v>
      </c>
      <c r="C141" s="53">
        <v>44687</v>
      </c>
      <c r="D141" s="52">
        <v>1.9257364681159945</v>
      </c>
      <c r="E141" s="54">
        <v>1.8863087927061952</v>
      </c>
      <c r="F141" s="55">
        <v>2189.2006682890401</v>
      </c>
      <c r="G141" s="55"/>
      <c r="H141" s="56"/>
    </row>
    <row r="142" spans="1:8" x14ac:dyDescent="0.15">
      <c r="A142" t="s">
        <v>232</v>
      </c>
      <c r="B142" s="52" t="s">
        <v>331</v>
      </c>
      <c r="C142" s="53">
        <v>44545</v>
      </c>
      <c r="D142" s="52">
        <v>1.9372727109222754</v>
      </c>
      <c r="E142" s="54">
        <v>1.8898139444258431</v>
      </c>
      <c r="F142" s="55">
        <v>2193.2686557345623</v>
      </c>
      <c r="G142" s="55"/>
      <c r="H142" s="56"/>
    </row>
    <row r="143" spans="1:8" x14ac:dyDescent="0.15">
      <c r="A143" t="s">
        <v>233</v>
      </c>
      <c r="B143" s="52" t="s">
        <v>331</v>
      </c>
      <c r="C143" s="53">
        <v>44384</v>
      </c>
      <c r="D143" s="52">
        <v>2.7452241544698475</v>
      </c>
      <c r="E143" s="54">
        <v>2.693721405354375</v>
      </c>
      <c r="F143" s="55">
        <v>5311.5392269395488</v>
      </c>
      <c r="G143" s="55">
        <v>143.36524750704297</v>
      </c>
      <c r="H143" s="56">
        <v>2.8086004498569741</v>
      </c>
    </row>
    <row r="144" spans="1:8" x14ac:dyDescent="0.15">
      <c r="A144" t="s">
        <v>234</v>
      </c>
      <c r="B144" s="52" t="s">
        <v>331</v>
      </c>
      <c r="C144" s="53">
        <v>44294</v>
      </c>
      <c r="D144" s="52">
        <v>3.1520017595513261</v>
      </c>
      <c r="E144" s="54">
        <v>3.1089794689299541</v>
      </c>
      <c r="F144" s="55">
        <v>3608.2002890491035</v>
      </c>
      <c r="G144" s="55"/>
      <c r="H144" s="56"/>
    </row>
    <row r="145" spans="1:8" x14ac:dyDescent="0.15">
      <c r="A145" t="s">
        <v>235</v>
      </c>
      <c r="B145" s="52" t="s">
        <v>331</v>
      </c>
      <c r="C145" s="53">
        <v>45517</v>
      </c>
      <c r="D145" s="52">
        <v>3.347463391686909</v>
      </c>
      <c r="E145" s="54">
        <v>3.3075176231006456</v>
      </c>
      <c r="F145" s="55">
        <v>5789.9166036649112</v>
      </c>
      <c r="G145" s="55"/>
      <c r="H145" s="56"/>
    </row>
    <row r="146" spans="1:8" x14ac:dyDescent="0.15">
      <c r="A146" t="s">
        <v>236</v>
      </c>
      <c r="B146" s="52" t="s">
        <v>331</v>
      </c>
      <c r="C146" s="53">
        <v>44306</v>
      </c>
      <c r="D146" s="52">
        <v>2.6325930424763411</v>
      </c>
      <c r="E146" s="54">
        <v>2.6058057686291858</v>
      </c>
      <c r="F146" s="55">
        <v>3024.2300476849778</v>
      </c>
      <c r="G146" s="55"/>
      <c r="H146" s="56"/>
    </row>
    <row r="147" spans="1:8" x14ac:dyDescent="0.15">
      <c r="A147" t="s">
        <v>237</v>
      </c>
      <c r="B147" s="52" t="s">
        <v>331</v>
      </c>
      <c r="C147" s="53">
        <v>44573</v>
      </c>
      <c r="D147" s="52">
        <v>1.8522350762031699</v>
      </c>
      <c r="E147" s="54">
        <v>1.8354026470419305</v>
      </c>
      <c r="F147" s="55">
        <v>2130.1203265448103</v>
      </c>
      <c r="G147" s="55"/>
      <c r="H147" s="56"/>
    </row>
    <row r="148" spans="1:8" x14ac:dyDescent="0.15">
      <c r="A148" t="s">
        <v>238</v>
      </c>
      <c r="B148" s="52" t="s">
        <v>331</v>
      </c>
      <c r="C148" s="53">
        <v>44153</v>
      </c>
      <c r="D148" s="52">
        <v>2.7702298542285093</v>
      </c>
      <c r="E148" s="54">
        <v>2.7482484635024229</v>
      </c>
      <c r="F148" s="55">
        <v>3189.5453152674431</v>
      </c>
      <c r="G148" s="55"/>
      <c r="H148" s="56"/>
    </row>
    <row r="149" spans="1:8" x14ac:dyDescent="0.15">
      <c r="A149" t="s">
        <v>239</v>
      </c>
      <c r="B149" s="52" t="s">
        <v>331</v>
      </c>
      <c r="C149" s="53">
        <v>44396</v>
      </c>
      <c r="D149" s="52">
        <v>2.2856892586032846</v>
      </c>
      <c r="E149" s="54">
        <v>2.2573755313322468</v>
      </c>
      <c r="F149" s="55">
        <v>3900.7785198395386</v>
      </c>
      <c r="G149" s="55"/>
      <c r="H149" s="56"/>
    </row>
    <row r="150" spans="1:8" x14ac:dyDescent="0.15">
      <c r="A150" t="s">
        <v>240</v>
      </c>
      <c r="B150" s="52" t="s">
        <v>331</v>
      </c>
      <c r="C150" s="53">
        <v>44672</v>
      </c>
      <c r="D150" s="52">
        <v>3.5112664936640585</v>
      </c>
      <c r="E150" s="54">
        <v>3.4576166682897225</v>
      </c>
      <c r="F150" s="55">
        <v>4012.8195076945549</v>
      </c>
      <c r="G150" s="55"/>
      <c r="H150" s="56"/>
    </row>
    <row r="151" spans="1:8" x14ac:dyDescent="0.15">
      <c r="A151" t="s">
        <v>241</v>
      </c>
      <c r="B151" s="52" t="s">
        <v>331</v>
      </c>
      <c r="C151" s="53">
        <v>44180</v>
      </c>
      <c r="D151" s="52">
        <v>2.6420975479544482</v>
      </c>
      <c r="E151" s="54">
        <v>2.6113088984838013</v>
      </c>
      <c r="F151" s="55">
        <v>3030.6168363178826</v>
      </c>
      <c r="G151" s="55"/>
      <c r="H151" s="56"/>
    </row>
    <row r="152" spans="1:8" x14ac:dyDescent="0.15">
      <c r="A152" t="s">
        <v>242</v>
      </c>
      <c r="B152" s="52" t="s">
        <v>331</v>
      </c>
      <c r="C152" s="53">
        <v>43965</v>
      </c>
      <c r="D152" s="52">
        <v>1.999556444463261</v>
      </c>
      <c r="E152" s="54">
        <v>1.9714131621014375</v>
      </c>
      <c r="F152" s="55">
        <v>2817.6562364809724</v>
      </c>
      <c r="G152" s="55"/>
      <c r="H152" s="56"/>
    </row>
    <row r="153" spans="1:8" x14ac:dyDescent="0.15">
      <c r="A153" t="s">
        <v>243</v>
      </c>
      <c r="B153" s="52" t="s">
        <v>331</v>
      </c>
      <c r="C153" s="53">
        <v>44286</v>
      </c>
      <c r="D153" s="52">
        <v>3.3302159776696652</v>
      </c>
      <c r="E153" s="54">
        <v>3.287738399772075</v>
      </c>
      <c r="F153" s="55">
        <v>3815.6632306286588</v>
      </c>
      <c r="G153" s="55"/>
      <c r="H153" s="56"/>
    </row>
    <row r="154" spans="1:8" x14ac:dyDescent="0.15">
      <c r="A154" t="s">
        <v>244</v>
      </c>
      <c r="B154" s="52" t="s">
        <v>331</v>
      </c>
      <c r="C154" s="53">
        <v>43576</v>
      </c>
      <c r="D154" s="52">
        <v>2.2460162095770873</v>
      </c>
      <c r="E154" s="54">
        <v>2.2251385055563149</v>
      </c>
      <c r="F154" s="55">
        <v>2582.4375745028365</v>
      </c>
      <c r="G154" s="55">
        <v>35.94741556944178</v>
      </c>
      <c r="H154" s="56">
        <v>1.0411066442030095</v>
      </c>
    </row>
    <row r="155" spans="1:8" x14ac:dyDescent="0.15">
      <c r="A155" t="s">
        <v>245</v>
      </c>
      <c r="B155" s="52" t="s">
        <v>331</v>
      </c>
      <c r="C155" s="53">
        <v>44697</v>
      </c>
      <c r="D155" s="52">
        <v>1.7787336842903458</v>
      </c>
      <c r="E155" s="54">
        <v>1.7420835816246716</v>
      </c>
      <c r="F155" s="55">
        <v>2569.8664686720217</v>
      </c>
      <c r="G155" s="55"/>
      <c r="H155" s="56"/>
    </row>
    <row r="156" spans="1:8" x14ac:dyDescent="0.15">
      <c r="A156" t="s">
        <v>246</v>
      </c>
      <c r="B156" s="52" t="s">
        <v>331</v>
      </c>
      <c r="C156" s="53">
        <v>44166</v>
      </c>
      <c r="D156" s="52">
        <v>2.7065466473413156</v>
      </c>
      <c r="E156" s="54">
        <v>2.6757117056384732</v>
      </c>
      <c r="F156" s="55">
        <v>3105.3610505249458</v>
      </c>
      <c r="G156" s="55"/>
      <c r="H156" s="56"/>
    </row>
    <row r="157" spans="1:8" x14ac:dyDescent="0.15">
      <c r="A157" t="s">
        <v>247</v>
      </c>
      <c r="B157" s="52" t="s">
        <v>331</v>
      </c>
      <c r="C157" s="53">
        <v>45427</v>
      </c>
      <c r="D157" s="52">
        <v>1.9110361897334296</v>
      </c>
      <c r="E157" s="54">
        <v>1.8784283664410293</v>
      </c>
      <c r="F157" s="55">
        <v>2643.0156457470084</v>
      </c>
      <c r="G157" s="55"/>
      <c r="H157" s="56"/>
    </row>
    <row r="158" spans="1:8" x14ac:dyDescent="0.15">
      <c r="A158" t="s">
        <v>248</v>
      </c>
      <c r="B158" s="52" t="s">
        <v>331</v>
      </c>
      <c r="C158" s="53">
        <v>43956</v>
      </c>
      <c r="D158" s="52">
        <v>2.0077612362789359</v>
      </c>
      <c r="E158" s="54">
        <v>1.9863869316660274</v>
      </c>
      <c r="F158" s="55">
        <v>2305.3487398768675</v>
      </c>
      <c r="G158" s="55"/>
      <c r="H158" s="56"/>
    </row>
    <row r="159" spans="1:8" x14ac:dyDescent="0.15">
      <c r="A159" t="s">
        <v>249</v>
      </c>
      <c r="B159" s="52" t="s">
        <v>331</v>
      </c>
      <c r="C159" s="53">
        <v>44777</v>
      </c>
      <c r="D159" s="52">
        <v>2.4822470068845215</v>
      </c>
      <c r="E159" s="54">
        <v>2.4350011025159688</v>
      </c>
      <c r="F159" s="55">
        <v>4062.7359802273218</v>
      </c>
      <c r="G159" s="55">
        <v>94.142115097565309</v>
      </c>
      <c r="H159" s="56">
        <v>2.0776641933850439</v>
      </c>
    </row>
    <row r="160" spans="1:8" x14ac:dyDescent="0.15">
      <c r="A160" t="s">
        <v>250</v>
      </c>
      <c r="B160" s="52" t="s">
        <v>331</v>
      </c>
      <c r="C160" s="53">
        <v>44704</v>
      </c>
      <c r="D160" s="52">
        <v>2.0013378997977567</v>
      </c>
      <c r="E160" s="54">
        <v>1.9582998769165947</v>
      </c>
      <c r="F160" s="55">
        <v>2602.078588816933</v>
      </c>
      <c r="G160" s="55"/>
      <c r="H160" s="56"/>
    </row>
    <row r="161" spans="1:8" x14ac:dyDescent="0.15">
      <c r="A161" t="s">
        <v>251</v>
      </c>
      <c r="B161" s="52" t="s">
        <v>331</v>
      </c>
      <c r="C161" s="53">
        <v>44411</v>
      </c>
      <c r="D161" s="52">
        <v>2.8407618912297656</v>
      </c>
      <c r="E161" s="54">
        <v>2.8037515371977086</v>
      </c>
      <c r="F161" s="55">
        <v>4709.5888963743228</v>
      </c>
      <c r="G161" s="55">
        <v>108.50184194724251</v>
      </c>
      <c r="H161" s="56">
        <v>2.3829111837154215</v>
      </c>
    </row>
    <row r="162" spans="1:8" x14ac:dyDescent="0.15">
      <c r="A162" t="s">
        <v>252</v>
      </c>
      <c r="B162" s="52" t="s">
        <v>331</v>
      </c>
      <c r="C162" s="53">
        <v>44244</v>
      </c>
      <c r="D162" s="52">
        <v>2.0632840279725646</v>
      </c>
      <c r="E162" s="54">
        <v>2.0200806476305417</v>
      </c>
      <c r="F162" s="55">
        <v>2344.4527857212561</v>
      </c>
      <c r="G162" s="55"/>
      <c r="H162" s="56"/>
    </row>
    <row r="163" spans="1:8" x14ac:dyDescent="0.15">
      <c r="A163" t="s">
        <v>253</v>
      </c>
      <c r="B163" s="52" t="s">
        <v>331</v>
      </c>
      <c r="C163" s="53">
        <v>44299</v>
      </c>
      <c r="D163" s="52">
        <v>2.6823736956473336</v>
      </c>
      <c r="E163" s="54">
        <v>2.6404541029332464</v>
      </c>
      <c r="F163" s="55">
        <v>3064.441998616262</v>
      </c>
      <c r="G163" s="55"/>
      <c r="H163" s="56"/>
    </row>
    <row r="164" spans="1:8" x14ac:dyDescent="0.15">
      <c r="A164" t="s">
        <v>254</v>
      </c>
      <c r="B164" t="s">
        <v>332</v>
      </c>
      <c r="C164" s="51">
        <v>44313</v>
      </c>
      <c r="D164">
        <v>1.5319080655544071</v>
      </c>
      <c r="E164" s="1">
        <v>1.4998312375908849</v>
      </c>
      <c r="F164" s="25">
        <v>1740.6649220693946</v>
      </c>
      <c r="H164" s="28"/>
    </row>
    <row r="165" spans="1:8" x14ac:dyDescent="0.15">
      <c r="A165" t="s">
        <v>255</v>
      </c>
      <c r="B165" t="s">
        <v>332</v>
      </c>
      <c r="C165" s="51">
        <v>44111</v>
      </c>
      <c r="D165">
        <v>3.1282056927433692</v>
      </c>
      <c r="E165" s="1">
        <v>3.0869643930047719</v>
      </c>
      <c r="F165" s="25">
        <v>4582.2232797413872</v>
      </c>
      <c r="H165" s="28"/>
    </row>
    <row r="166" spans="1:8" x14ac:dyDescent="0.15">
      <c r="A166" t="s">
        <v>256</v>
      </c>
      <c r="B166" t="s">
        <v>332</v>
      </c>
      <c r="C166" s="51">
        <v>43951</v>
      </c>
      <c r="D166">
        <v>1.2498086679239935</v>
      </c>
      <c r="E166" s="1">
        <v>1.2155696925529509</v>
      </c>
      <c r="F166" s="25">
        <v>1410.7584047631117</v>
      </c>
      <c r="H166" s="28"/>
    </row>
    <row r="167" spans="1:8" x14ac:dyDescent="0.15">
      <c r="A167" t="s">
        <v>257</v>
      </c>
      <c r="B167" t="s">
        <v>332</v>
      </c>
      <c r="C167" s="51">
        <v>44286</v>
      </c>
      <c r="D167">
        <v>2.2776442210339578</v>
      </c>
      <c r="E167" s="1">
        <v>2.2299523239266881</v>
      </c>
      <c r="F167" s="25">
        <v>2588.0243662488069</v>
      </c>
      <c r="H167" s="28"/>
    </row>
    <row r="168" spans="1:8" x14ac:dyDescent="0.15">
      <c r="A168" t="s">
        <v>258</v>
      </c>
      <c r="B168" t="s">
        <v>332</v>
      </c>
      <c r="C168" s="51">
        <v>44306</v>
      </c>
      <c r="D168">
        <v>2.4028858237028272</v>
      </c>
      <c r="E168" s="1">
        <v>2.3677908756014423</v>
      </c>
      <c r="F168" s="25">
        <v>2747.996185607954</v>
      </c>
      <c r="H168" s="28"/>
    </row>
    <row r="169" spans="1:8" x14ac:dyDescent="0.15">
      <c r="A169" t="s">
        <v>259</v>
      </c>
      <c r="B169" t="s">
        <v>332</v>
      </c>
      <c r="C169" s="51">
        <v>45300</v>
      </c>
      <c r="D169">
        <v>2.1987416380779128</v>
      </c>
      <c r="E169" s="1">
        <v>1.8124625630032898</v>
      </c>
      <c r="F169" s="25">
        <v>2103.4966647656856</v>
      </c>
      <c r="G169" s="25">
        <v>66.613633926382676</v>
      </c>
      <c r="H169" s="28">
        <v>1.9292596081432554</v>
      </c>
    </row>
    <row r="170" spans="1:8" x14ac:dyDescent="0.15">
      <c r="A170" t="s">
        <v>260</v>
      </c>
      <c r="B170" t="s">
        <v>332</v>
      </c>
      <c r="C170" s="51">
        <v>44272</v>
      </c>
      <c r="D170">
        <v>2.5229223904905909</v>
      </c>
      <c r="E170" s="1">
        <v>2.4103798854540659</v>
      </c>
      <c r="F170" s="25">
        <v>2797.4238769762219</v>
      </c>
      <c r="H170" s="28"/>
    </row>
    <row r="171" spans="1:8" x14ac:dyDescent="0.15">
      <c r="A171" t="s">
        <v>261</v>
      </c>
      <c r="B171" t="s">
        <v>332</v>
      </c>
      <c r="C171" s="51">
        <v>44452</v>
      </c>
      <c r="D171">
        <v>1.9908724201063486</v>
      </c>
      <c r="E171" s="1">
        <v>1.9437718904200996</v>
      </c>
      <c r="F171" s="25">
        <v>2883.2942455401871</v>
      </c>
      <c r="G171" s="25">
        <v>216.47248279990629</v>
      </c>
      <c r="H171" s="28">
        <v>5.2079877235386469</v>
      </c>
    </row>
    <row r="172" spans="1:8" x14ac:dyDescent="0.15">
      <c r="A172" t="s">
        <v>262</v>
      </c>
      <c r="B172" t="s">
        <v>332</v>
      </c>
      <c r="C172" s="51">
        <v>45678</v>
      </c>
      <c r="D172">
        <v>2.1966415983089753</v>
      </c>
      <c r="E172" s="1">
        <v>1.9143338389375286</v>
      </c>
      <c r="F172" s="25">
        <v>2221.7258042454105</v>
      </c>
      <c r="G172" s="25">
        <v>209.35713519720267</v>
      </c>
      <c r="H172" s="28">
        <v>6.0633873398788021</v>
      </c>
    </row>
    <row r="173" spans="1:8" x14ac:dyDescent="0.15">
      <c r="A173" t="s">
        <v>263</v>
      </c>
      <c r="B173" t="s">
        <v>332</v>
      </c>
      <c r="C173" s="51">
        <v>44326</v>
      </c>
      <c r="D173">
        <v>1.1421879380954492</v>
      </c>
      <c r="E173" s="1">
        <v>1.116052060482936</v>
      </c>
      <c r="F173" s="25">
        <v>1335.156414455583</v>
      </c>
      <c r="H173" s="28"/>
    </row>
    <row r="174" spans="1:8" x14ac:dyDescent="0.15">
      <c r="A174" t="s">
        <v>264</v>
      </c>
      <c r="B174" t="s">
        <v>332</v>
      </c>
      <c r="C174" s="51">
        <v>44747</v>
      </c>
      <c r="D174">
        <v>1.3440254521202144</v>
      </c>
      <c r="E174" s="1">
        <v>1.2422312554349351</v>
      </c>
      <c r="F174" s="25">
        <v>2386.446927880093</v>
      </c>
      <c r="G174" s="25">
        <v>716.16844579718429</v>
      </c>
      <c r="H174" s="28">
        <v>14.289241493280814</v>
      </c>
    </row>
    <row r="175" spans="1:8" x14ac:dyDescent="0.15">
      <c r="A175" t="s">
        <v>265</v>
      </c>
      <c r="B175" t="s">
        <v>332</v>
      </c>
      <c r="C175" s="51">
        <v>44426</v>
      </c>
      <c r="D175">
        <v>2.4723595984049851</v>
      </c>
      <c r="E175" s="1">
        <v>2.450205035495729</v>
      </c>
      <c r="F175" s="25">
        <v>4183.0977664117027</v>
      </c>
      <c r="G175" s="25">
        <v>164.87461107453794</v>
      </c>
      <c r="H175" s="28">
        <v>3.5786689627780675</v>
      </c>
    </row>
    <row r="176" spans="1:8" x14ac:dyDescent="0.15">
      <c r="A176" t="s">
        <v>266</v>
      </c>
      <c r="B176" t="s">
        <v>332</v>
      </c>
      <c r="C176" s="51">
        <v>44067</v>
      </c>
      <c r="D176">
        <v>2.7644550211425791</v>
      </c>
      <c r="E176" s="1">
        <v>2.6285064455479215</v>
      </c>
      <c r="F176" s="25">
        <v>4038.3632202697936</v>
      </c>
      <c r="G176" s="25">
        <v>329.80897201523879</v>
      </c>
      <c r="H176" s="28">
        <v>7.7313428980478127</v>
      </c>
    </row>
    <row r="177" spans="1:8" x14ac:dyDescent="0.15">
      <c r="A177" t="s">
        <v>267</v>
      </c>
      <c r="B177" t="s">
        <v>332</v>
      </c>
      <c r="C177" s="51">
        <v>44053</v>
      </c>
      <c r="D177">
        <v>2.7537995261457069</v>
      </c>
      <c r="E177" s="1">
        <v>2.6520669780092887</v>
      </c>
      <c r="F177" s="25">
        <v>4712.4262568292479</v>
      </c>
      <c r="G177" s="25">
        <v>180.19498939061828</v>
      </c>
      <c r="H177" s="28">
        <v>3.8002863057522451</v>
      </c>
    </row>
    <row r="178" spans="1:8" x14ac:dyDescent="0.15">
      <c r="A178" t="s">
        <v>268</v>
      </c>
      <c r="B178" t="s">
        <v>332</v>
      </c>
      <c r="C178" s="51">
        <v>44153</v>
      </c>
      <c r="D178">
        <v>2.0471076013253713</v>
      </c>
      <c r="E178" s="1">
        <v>2.0203999233139425</v>
      </c>
      <c r="F178" s="25">
        <v>2344.8233287321204</v>
      </c>
      <c r="H178" s="28"/>
    </row>
    <row r="179" spans="1:8" x14ac:dyDescent="0.15">
      <c r="A179" t="s">
        <v>269</v>
      </c>
      <c r="B179" t="s">
        <v>332</v>
      </c>
      <c r="C179" s="51">
        <v>45183</v>
      </c>
      <c r="D179">
        <v>1.749333127525216</v>
      </c>
      <c r="E179" s="1">
        <v>1.5577859246167334</v>
      </c>
      <c r="F179" s="25">
        <v>2206.9883576287802</v>
      </c>
      <c r="G179" s="25">
        <v>523.72946337780854</v>
      </c>
      <c r="H179" s="28">
        <v>13.03840284624288</v>
      </c>
    </row>
    <row r="180" spans="1:8" x14ac:dyDescent="0.15">
      <c r="A180" t="s">
        <v>270</v>
      </c>
      <c r="B180" t="s">
        <v>332</v>
      </c>
      <c r="C180" s="51">
        <v>44601</v>
      </c>
      <c r="D180">
        <v>1.4574275996428574</v>
      </c>
      <c r="E180" s="1">
        <v>1.3077059440091097</v>
      </c>
      <c r="F180" s="25">
        <v>1517.6893293505402</v>
      </c>
      <c r="H180" s="28"/>
    </row>
    <row r="181" spans="1:8" x14ac:dyDescent="0.15">
      <c r="A181" t="s">
        <v>271</v>
      </c>
      <c r="B181" t="s">
        <v>332</v>
      </c>
      <c r="C181" s="51">
        <v>43748</v>
      </c>
      <c r="D181">
        <v>0.91645075209187088</v>
      </c>
      <c r="E181" s="1">
        <v>0.88439720254733212</v>
      </c>
      <c r="F181" s="25">
        <v>1290.9901299327719</v>
      </c>
      <c r="H181" s="28"/>
    </row>
    <row r="182" spans="1:8" x14ac:dyDescent="0.15">
      <c r="A182" t="s">
        <v>272</v>
      </c>
      <c r="B182" t="s">
        <v>332</v>
      </c>
      <c r="C182" s="51">
        <v>45708</v>
      </c>
      <c r="D182">
        <v>2.1714411210817208</v>
      </c>
      <c r="E182" s="1"/>
      <c r="F182" s="25"/>
      <c r="G182" s="25">
        <v>147.13560900222984</v>
      </c>
      <c r="H182" s="28">
        <v>4.2613316619427941</v>
      </c>
    </row>
    <row r="183" spans="1:8" x14ac:dyDescent="0.15">
      <c r="A183" t="s">
        <v>273</v>
      </c>
      <c r="B183" t="s">
        <v>332</v>
      </c>
      <c r="C183" s="51">
        <v>44704</v>
      </c>
      <c r="D183">
        <v>0.82111554965469336</v>
      </c>
      <c r="E183" s="1">
        <v>0.77435643179360647</v>
      </c>
      <c r="F183" s="25">
        <v>1028.9212163233162</v>
      </c>
      <c r="G183" s="25">
        <v>93.328527219663002</v>
      </c>
      <c r="H183" s="28">
        <v>2.4380753289722454</v>
      </c>
    </row>
    <row r="184" spans="1:8" x14ac:dyDescent="0.15">
      <c r="A184" t="s">
        <v>274</v>
      </c>
      <c r="B184" t="s">
        <v>332</v>
      </c>
      <c r="C184" s="51">
        <v>44733</v>
      </c>
      <c r="D184">
        <v>1.2789242192831416</v>
      </c>
      <c r="E184" s="1">
        <v>1.2362166055224288</v>
      </c>
      <c r="F184" s="25">
        <v>1999.0059797962372</v>
      </c>
      <c r="G184" s="25">
        <v>312.68173369046167</v>
      </c>
      <c r="H184" s="28">
        <v>7.0598181265022406</v>
      </c>
    </row>
    <row r="185" spans="1:8" x14ac:dyDescent="0.15">
      <c r="A185" t="s">
        <v>275</v>
      </c>
      <c r="B185" t="s">
        <v>332</v>
      </c>
      <c r="C185" s="51">
        <v>44440</v>
      </c>
      <c r="D185">
        <v>1.9527699318090253</v>
      </c>
      <c r="E185" s="1">
        <v>1.9151833512724097</v>
      </c>
      <c r="F185" s="25">
        <v>2921.9880064503022</v>
      </c>
      <c r="G185" s="25">
        <v>285.01779398320065</v>
      </c>
      <c r="H185" s="28">
        <v>6.7157951182709574</v>
      </c>
    </row>
    <row r="186" spans="1:8" x14ac:dyDescent="0.15">
      <c r="A186" t="s">
        <v>276</v>
      </c>
      <c r="B186" t="s">
        <v>332</v>
      </c>
      <c r="C186" s="51">
        <v>44330</v>
      </c>
      <c r="D186">
        <v>1.2074327046004096</v>
      </c>
      <c r="E186" s="1">
        <v>1.1717799206192032</v>
      </c>
      <c r="F186" s="25">
        <v>1674.7747578170995</v>
      </c>
      <c r="H186" s="28"/>
    </row>
    <row r="187" spans="1:8" x14ac:dyDescent="0.15">
      <c r="A187" t="s">
        <v>277</v>
      </c>
      <c r="B187" t="s">
        <v>332</v>
      </c>
      <c r="C187" s="51">
        <v>44687</v>
      </c>
      <c r="D187">
        <v>1.1823223899120012</v>
      </c>
      <c r="E187" s="1">
        <v>1.1221782586693501</v>
      </c>
      <c r="F187" s="25">
        <v>1302.3707482664611</v>
      </c>
      <c r="H187" s="28"/>
    </row>
    <row r="188" spans="1:8" x14ac:dyDescent="0.15">
      <c r="A188" t="s">
        <v>278</v>
      </c>
      <c r="B188" t="s">
        <v>332</v>
      </c>
      <c r="C188" s="51">
        <v>44166</v>
      </c>
      <c r="D188">
        <v>1.827651785119458</v>
      </c>
      <c r="E188" s="1">
        <v>1.7885134135228085</v>
      </c>
      <c r="F188" s="25">
        <v>2075.7019080162318</v>
      </c>
      <c r="H188" s="28"/>
    </row>
    <row r="189" spans="1:8" x14ac:dyDescent="0.15">
      <c r="A189" t="s">
        <v>279</v>
      </c>
      <c r="B189" t="s">
        <v>332</v>
      </c>
      <c r="C189" s="51">
        <v>45364</v>
      </c>
      <c r="D189">
        <v>4.7187893608033136</v>
      </c>
      <c r="E189" s="1">
        <v>3.9799732586373273</v>
      </c>
      <c r="F189" s="25">
        <v>4619.0529097207291</v>
      </c>
      <c r="G189" s="25">
        <v>62.221526194972817</v>
      </c>
      <c r="H189" s="28">
        <v>1.8020556779360075</v>
      </c>
    </row>
    <row r="190" spans="1:8" x14ac:dyDescent="0.15">
      <c r="A190" t="s">
        <v>280</v>
      </c>
      <c r="B190" t="s">
        <v>332</v>
      </c>
      <c r="C190" s="51">
        <v>44805</v>
      </c>
      <c r="D190">
        <v>1.7934339626729106</v>
      </c>
      <c r="E190" s="1">
        <v>1.6229693530167302</v>
      </c>
      <c r="F190" s="25">
        <v>2476.1582128419218</v>
      </c>
      <c r="G190" s="25">
        <v>668.51726714991401</v>
      </c>
      <c r="H190" s="28">
        <v>15.752086690664159</v>
      </c>
    </row>
    <row r="191" spans="1:8" x14ac:dyDescent="0.15">
      <c r="A191" t="s">
        <v>281</v>
      </c>
      <c r="B191" t="s">
        <v>332</v>
      </c>
      <c r="C191" s="51">
        <v>44396</v>
      </c>
      <c r="D191">
        <v>1.9243453874704479</v>
      </c>
      <c r="E191" s="1">
        <v>1.8834087234673598</v>
      </c>
      <c r="F191" s="25">
        <v>3254.5583092433044</v>
      </c>
      <c r="G191" s="25">
        <v>451.3729147981486</v>
      </c>
      <c r="H191" s="28">
        <v>9.7121107702235374</v>
      </c>
    </row>
    <row r="192" spans="1:8" x14ac:dyDescent="0.15">
      <c r="A192" t="s">
        <v>282</v>
      </c>
      <c r="B192" t="s">
        <v>332</v>
      </c>
      <c r="C192" s="51">
        <v>45049</v>
      </c>
      <c r="D192">
        <v>1.0710202821582957</v>
      </c>
      <c r="E192" s="1">
        <v>1.0416792814084632</v>
      </c>
      <c r="F192" s="25">
        <v>1208.9457398598092</v>
      </c>
      <c r="H192" s="28"/>
    </row>
    <row r="193" spans="1:8" x14ac:dyDescent="0.15">
      <c r="A193" t="s">
        <v>283</v>
      </c>
      <c r="B193" t="s">
        <v>332</v>
      </c>
      <c r="C193" s="51">
        <v>44762</v>
      </c>
      <c r="D193">
        <v>1.2726240999763279</v>
      </c>
      <c r="E193" s="1">
        <v>1.2175877700092441</v>
      </c>
      <c r="F193" s="25">
        <v>2095.0000409778536</v>
      </c>
      <c r="G193" s="25">
        <v>266.19303578650056</v>
      </c>
      <c r="H193" s="28">
        <v>5.7453775143606816</v>
      </c>
    </row>
    <row r="194" spans="1:8" x14ac:dyDescent="0.15">
      <c r="A194" t="s">
        <v>284</v>
      </c>
      <c r="B194" t="s">
        <v>332</v>
      </c>
      <c r="C194" s="51">
        <v>45126</v>
      </c>
      <c r="D194">
        <v>2.9673561935091604</v>
      </c>
      <c r="E194" s="1">
        <v>2.5317121246011332</v>
      </c>
      <c r="F194" s="25">
        <v>4374.8362365888943</v>
      </c>
      <c r="G194" s="25">
        <v>296.57711976070829</v>
      </c>
      <c r="H194" s="28">
        <v>6.3813971653969208</v>
      </c>
    </row>
    <row r="195" spans="1:8" x14ac:dyDescent="0.15">
      <c r="A195" t="s">
        <v>285</v>
      </c>
      <c r="B195" t="s">
        <v>332</v>
      </c>
      <c r="C195" s="51">
        <v>44545</v>
      </c>
      <c r="D195">
        <v>1.6520938134503651</v>
      </c>
      <c r="E195" s="1">
        <v>1.5200461496538387</v>
      </c>
      <c r="F195" s="25">
        <v>1764.1258205016882</v>
      </c>
      <c r="G195" s="25">
        <v>48.397629831709352</v>
      </c>
      <c r="H195" s="28">
        <v>1.4016889165268256</v>
      </c>
    </row>
    <row r="196" spans="1:8" x14ac:dyDescent="0.15">
      <c r="A196" t="s">
        <v>286</v>
      </c>
      <c r="B196" t="s">
        <v>332</v>
      </c>
      <c r="C196" s="51">
        <v>44244</v>
      </c>
      <c r="D196">
        <v>2.1882305354414493</v>
      </c>
      <c r="E196" s="1">
        <v>2.0862398418025903</v>
      </c>
      <c r="F196" s="25">
        <v>2421.2354167808949</v>
      </c>
      <c r="H196" s="28"/>
    </row>
    <row r="197" spans="1:8" x14ac:dyDescent="0.15">
      <c r="A197" t="s">
        <v>287</v>
      </c>
      <c r="B197" t="s">
        <v>332</v>
      </c>
      <c r="C197" s="51">
        <v>44315</v>
      </c>
      <c r="D197">
        <v>1.5219345994326519</v>
      </c>
      <c r="E197" s="1">
        <v>1.4914667200448068</v>
      </c>
      <c r="F197" s="25">
        <v>1730.9572816912153</v>
      </c>
      <c r="H197" s="28"/>
    </row>
    <row r="198" spans="1:8" x14ac:dyDescent="0.15">
      <c r="A198" t="s">
        <v>288</v>
      </c>
      <c r="B198" t="s">
        <v>332</v>
      </c>
      <c r="C198" s="51">
        <v>43576</v>
      </c>
      <c r="D198">
        <v>2.4732182106503271</v>
      </c>
      <c r="E198" s="1">
        <v>2.4327848686225986</v>
      </c>
      <c r="F198" s="25">
        <v>2823.4265146754224</v>
      </c>
      <c r="G198" s="25">
        <v>39.224588498724493</v>
      </c>
      <c r="H198" s="28">
        <v>1.1360199072799482</v>
      </c>
    </row>
    <row r="199" spans="1:8" x14ac:dyDescent="0.15">
      <c r="A199" t="s">
        <v>289</v>
      </c>
      <c r="B199" t="s">
        <v>332</v>
      </c>
      <c r="C199" s="51">
        <v>45427</v>
      </c>
      <c r="D199">
        <v>1.0122191686280362</v>
      </c>
      <c r="E199" s="1">
        <v>0.95855270707455198</v>
      </c>
      <c r="F199" s="25">
        <v>1348.7178150270574</v>
      </c>
      <c r="G199" s="25">
        <v>73.708580635127674</v>
      </c>
      <c r="H199" s="28">
        <v>1.8444569880050901</v>
      </c>
    </row>
    <row r="200" spans="1:8" x14ac:dyDescent="0.15">
      <c r="A200" t="s">
        <v>290</v>
      </c>
      <c r="B200" t="s">
        <v>332</v>
      </c>
      <c r="C200" s="51">
        <v>45398</v>
      </c>
      <c r="D200">
        <v>2.6229496714033558</v>
      </c>
      <c r="E200" s="1">
        <v>2.5810241318518043</v>
      </c>
      <c r="F200" s="25">
        <v>2995.4691279436734</v>
      </c>
      <c r="G200" s="25">
        <v>45.385113224568407</v>
      </c>
      <c r="H200" s="28">
        <v>1.3144406121415584</v>
      </c>
    </row>
    <row r="201" spans="1:8" x14ac:dyDescent="0.15">
      <c r="A201" t="s">
        <v>291</v>
      </c>
      <c r="B201" t="s">
        <v>332</v>
      </c>
      <c r="C201" s="51">
        <v>45168</v>
      </c>
      <c r="D201">
        <v>1.4973283552526762</v>
      </c>
      <c r="E201" s="1">
        <v>1.4394972402242425</v>
      </c>
      <c r="F201" s="25">
        <v>2292.0055039912031</v>
      </c>
      <c r="G201" s="25">
        <v>329.59245478464231</v>
      </c>
      <c r="H201" s="28">
        <v>7.5262325372621488</v>
      </c>
    </row>
    <row r="202" spans="1:8" x14ac:dyDescent="0.15">
      <c r="A202" t="s">
        <v>292</v>
      </c>
      <c r="B202" t="s">
        <v>332</v>
      </c>
      <c r="C202" s="51">
        <v>44411</v>
      </c>
      <c r="D202">
        <v>2.1057494916995618</v>
      </c>
      <c r="E202" s="1">
        <v>2.0626961221865976</v>
      </c>
      <c r="F202" s="25">
        <v>3464.8044324761258</v>
      </c>
      <c r="G202" s="25">
        <v>402.79118449758323</v>
      </c>
      <c r="H202" s="28">
        <v>8.8460767210566758</v>
      </c>
    </row>
    <row r="203" spans="1:8" x14ac:dyDescent="0.15">
      <c r="A203" t="s">
        <v>293</v>
      </c>
      <c r="B203" t="s">
        <v>332</v>
      </c>
      <c r="C203" s="51">
        <v>44656</v>
      </c>
      <c r="D203">
        <v>1.680031815150268</v>
      </c>
      <c r="E203" s="1">
        <v>1.5211823101122364</v>
      </c>
      <c r="F203" s="25">
        <v>1765.4444186254025</v>
      </c>
      <c r="G203" s="25">
        <v>66.613633926382676</v>
      </c>
      <c r="H203" s="28">
        <v>1.9292596081432554</v>
      </c>
    </row>
    <row r="204" spans="1:8" x14ac:dyDescent="0.15">
      <c r="A204" t="s">
        <v>294</v>
      </c>
      <c r="B204" t="s">
        <v>332</v>
      </c>
      <c r="C204" s="51">
        <v>44816</v>
      </c>
      <c r="D204">
        <v>2.1147400473203999</v>
      </c>
      <c r="E204" s="1">
        <v>1.8763768911963234</v>
      </c>
      <c r="F204" s="25">
        <v>2889.5599690092258</v>
      </c>
      <c r="G204" s="25">
        <v>435.76258691337421</v>
      </c>
      <c r="H204" s="28">
        <v>10.197515071614346</v>
      </c>
    </row>
    <row r="205" spans="1:8" x14ac:dyDescent="0.15">
      <c r="A205" t="s">
        <v>295</v>
      </c>
      <c r="B205" t="s">
        <v>332</v>
      </c>
      <c r="C205" s="51">
        <v>43966</v>
      </c>
      <c r="D205">
        <v>1.2474088200219271</v>
      </c>
      <c r="E205" s="1">
        <v>1.2148030359253226</v>
      </c>
      <c r="F205" s="25">
        <v>1709.2711587053163</v>
      </c>
      <c r="H205" s="28"/>
    </row>
    <row r="206" spans="1:8" x14ac:dyDescent="0.15">
      <c r="A206" t="s">
        <v>296</v>
      </c>
      <c r="B206" t="s">
        <v>332</v>
      </c>
      <c r="C206" s="51">
        <v>44125</v>
      </c>
      <c r="D206">
        <v>1.5239424152313876</v>
      </c>
      <c r="E206" s="1">
        <v>1.49231083989672</v>
      </c>
      <c r="F206" s="25">
        <v>1823.1069280277286</v>
      </c>
      <c r="H206" s="28"/>
    </row>
    <row r="207" spans="1:8" x14ac:dyDescent="0.15">
      <c r="A207" t="s">
        <v>297</v>
      </c>
      <c r="B207" t="s">
        <v>332</v>
      </c>
      <c r="C207" s="51">
        <v>44672</v>
      </c>
      <c r="D207">
        <v>3.2886622781566488</v>
      </c>
      <c r="E207" s="1">
        <v>3.2150046356010389</v>
      </c>
      <c r="F207" s="25">
        <v>3731.2503255167808</v>
      </c>
      <c r="G207" s="25">
        <v>60.025472329267899</v>
      </c>
      <c r="H207" s="28">
        <v>1.7384537128323838</v>
      </c>
    </row>
    <row r="208" spans="1:8" x14ac:dyDescent="0.15">
      <c r="A208" t="s">
        <v>298</v>
      </c>
      <c r="B208" t="s">
        <v>332</v>
      </c>
      <c r="C208" s="51">
        <v>43634</v>
      </c>
      <c r="D208">
        <v>1.0142055907446095</v>
      </c>
      <c r="E208" s="1">
        <v>0.97161107004777925</v>
      </c>
      <c r="F208" s="25">
        <v>1592.0976624294424</v>
      </c>
      <c r="G208" s="25">
        <v>87.837197678166135</v>
      </c>
      <c r="H208" s="28">
        <v>1.9641339560426916</v>
      </c>
    </row>
    <row r="209" spans="1:8" x14ac:dyDescent="0.15">
      <c r="A209" t="s">
        <v>299</v>
      </c>
      <c r="B209" t="s">
        <v>332</v>
      </c>
      <c r="C209" s="51">
        <v>44180</v>
      </c>
      <c r="D209">
        <v>1.3860102496496374</v>
      </c>
      <c r="E209" s="1">
        <v>1.3563294403022446</v>
      </c>
      <c r="F209" s="25">
        <v>1574.1204879132733</v>
      </c>
      <c r="H209" s="28"/>
    </row>
    <row r="210" spans="1:8" x14ac:dyDescent="0.15">
      <c r="A210" t="s">
        <v>300</v>
      </c>
      <c r="B210" t="s">
        <v>332</v>
      </c>
      <c r="C210" s="51">
        <v>44138</v>
      </c>
      <c r="D210">
        <v>2.0684145036495432</v>
      </c>
      <c r="E210" s="1">
        <v>2.0491876852430995</v>
      </c>
      <c r="F210" s="25">
        <v>2378.2336525865944</v>
      </c>
      <c r="H210" s="28"/>
    </row>
    <row r="211" spans="1:8" x14ac:dyDescent="0.15">
      <c r="A211" t="s">
        <v>301</v>
      </c>
      <c r="B211" t="s">
        <v>332</v>
      </c>
      <c r="C211" s="51">
        <v>45545</v>
      </c>
      <c r="D211">
        <v>1.7010322128396465</v>
      </c>
      <c r="E211" s="1">
        <v>1.5622381957310165</v>
      </c>
      <c r="F211" s="25">
        <v>2280.3385367216165</v>
      </c>
      <c r="G211" s="25">
        <v>575.56251073187138</v>
      </c>
      <c r="H211" s="28">
        <v>14.013632977831778</v>
      </c>
    </row>
    <row r="212" spans="1:8" x14ac:dyDescent="0.15">
      <c r="A212" t="s">
        <v>302</v>
      </c>
      <c r="B212" t="s">
        <v>332</v>
      </c>
      <c r="C212" s="51">
        <v>44573</v>
      </c>
      <c r="D212">
        <v>1.5120286336352409</v>
      </c>
      <c r="E212" s="1">
        <v>1.4602783535803225</v>
      </c>
      <c r="F212" s="25">
        <v>1694.7608789755507</v>
      </c>
      <c r="H212" s="28"/>
    </row>
    <row r="213" spans="1:8" x14ac:dyDescent="0.15">
      <c r="A213" t="s">
        <v>303</v>
      </c>
      <c r="B213" t="s">
        <v>332</v>
      </c>
      <c r="C213" s="51">
        <v>45489</v>
      </c>
      <c r="D213">
        <v>2.4570465296572666</v>
      </c>
      <c r="E213" s="1">
        <v>2.0715238509654843</v>
      </c>
      <c r="F213" s="25">
        <v>3775.0370785766695</v>
      </c>
      <c r="G213" s="25">
        <v>1793.2890049042046</v>
      </c>
      <c r="H213" s="28">
        <v>37.14354762051628</v>
      </c>
    </row>
    <row r="214" spans="1:8" x14ac:dyDescent="0.15">
      <c r="A214" t="s">
        <v>304</v>
      </c>
      <c r="B214" t="s">
        <v>332</v>
      </c>
      <c r="C214" s="51">
        <v>44777</v>
      </c>
      <c r="D214">
        <v>1.3923263668057844</v>
      </c>
      <c r="E214" s="1">
        <v>1.2927866393458232</v>
      </c>
      <c r="F214" s="25">
        <v>2156.9808691259077</v>
      </c>
      <c r="G214" s="25">
        <v>492.80515352092868</v>
      </c>
      <c r="H214" s="28">
        <v>10.87593603271967</v>
      </c>
    </row>
    <row r="215" spans="1:8" x14ac:dyDescent="0.15">
      <c r="A215" t="s">
        <v>305</v>
      </c>
      <c r="B215" t="s">
        <v>332</v>
      </c>
      <c r="C215" s="51">
        <v>44299</v>
      </c>
      <c r="D215">
        <v>1.801260854044241</v>
      </c>
      <c r="E215" s="1">
        <v>1.7496623154850635</v>
      </c>
      <c r="F215" s="25">
        <v>2030.6123393746241</v>
      </c>
      <c r="H215" s="28"/>
    </row>
    <row r="216" spans="1:8" x14ac:dyDescent="0.15">
      <c r="A216" t="s">
        <v>306</v>
      </c>
      <c r="B216" t="s">
        <v>332</v>
      </c>
      <c r="C216" s="51">
        <v>44294</v>
      </c>
      <c r="D216">
        <v>2.167812307402619</v>
      </c>
      <c r="E216" s="1">
        <v>2.119258843847883</v>
      </c>
      <c r="F216" s="25">
        <v>2459.5564072906664</v>
      </c>
      <c r="H216" s="28"/>
    </row>
    <row r="217" spans="1:8" x14ac:dyDescent="0.15">
      <c r="A217" t="s">
        <v>307</v>
      </c>
      <c r="B217" t="s">
        <v>332</v>
      </c>
      <c r="C217" s="51">
        <v>44494</v>
      </c>
      <c r="D217">
        <v>1.1666876583387267</v>
      </c>
      <c r="E217" s="1">
        <v>1.1396515223116455</v>
      </c>
      <c r="F217" s="25">
        <v>1344.5885768568446</v>
      </c>
      <c r="G217" s="25">
        <v>62.159151049223134</v>
      </c>
      <c r="H217" s="28">
        <v>1.7776296179986408</v>
      </c>
    </row>
    <row r="218" spans="1:8" x14ac:dyDescent="0.15">
      <c r="A218" t="s">
        <v>308</v>
      </c>
      <c r="B218" t="s">
        <v>332</v>
      </c>
      <c r="C218" s="51">
        <v>43811</v>
      </c>
      <c r="D218">
        <v>1.2522019335305947</v>
      </c>
      <c r="E218" s="1">
        <v>1.2112057886670629</v>
      </c>
      <c r="F218" s="25">
        <v>1405.6937720050628</v>
      </c>
      <c r="H218" s="28"/>
    </row>
    <row r="219" spans="1:8" x14ac:dyDescent="0.15">
      <c r="A219" t="s">
        <v>309</v>
      </c>
      <c r="B219" t="s">
        <v>332</v>
      </c>
      <c r="C219" s="51">
        <v>43789</v>
      </c>
      <c r="D219">
        <v>1.7099045769675987</v>
      </c>
      <c r="E219" s="1">
        <v>1.6689433912236851</v>
      </c>
      <c r="F219" s="25">
        <v>1936.9320662295972</v>
      </c>
      <c r="H219" s="28"/>
    </row>
    <row r="220" spans="1:8" x14ac:dyDescent="0.15">
      <c r="A220" t="s">
        <v>310</v>
      </c>
      <c r="B220" t="s">
        <v>332</v>
      </c>
      <c r="C220" s="51">
        <v>44481</v>
      </c>
      <c r="D220">
        <v>1.3037600655811377</v>
      </c>
      <c r="E220" s="1">
        <v>1.2689494687870235</v>
      </c>
      <c r="F220" s="25">
        <v>1723.6201840283795</v>
      </c>
      <c r="G220" s="25">
        <v>156.65056195713288</v>
      </c>
      <c r="H220" s="28">
        <v>4.0249884906756774</v>
      </c>
    </row>
    <row r="221" spans="1:8" x14ac:dyDescent="0.15">
      <c r="A221" t="s">
        <v>311</v>
      </c>
      <c r="B221" t="s">
        <v>332</v>
      </c>
      <c r="C221" s="51">
        <v>45517</v>
      </c>
      <c r="D221">
        <v>1.640131059540449</v>
      </c>
      <c r="E221" s="1">
        <v>1.5839328797553995</v>
      </c>
      <c r="F221" s="25">
        <v>2772.7257492249805</v>
      </c>
      <c r="G221" s="25">
        <v>719.04538487986849</v>
      </c>
      <c r="H221" s="28">
        <v>15.328073589973334</v>
      </c>
    </row>
    <row r="222" spans="1:8" x14ac:dyDescent="0.15">
      <c r="A222" t="s">
        <v>312</v>
      </c>
      <c r="B222" t="s">
        <v>332</v>
      </c>
      <c r="C222" s="51">
        <v>44384</v>
      </c>
      <c r="D222">
        <v>1.9919205800077933</v>
      </c>
      <c r="E222" s="1">
        <v>1.9220423712039074</v>
      </c>
      <c r="F222" s="25">
        <v>3789.9255023911442</v>
      </c>
      <c r="G222" s="25">
        <v>598.45931714614744</v>
      </c>
      <c r="H222" s="28">
        <v>11.724132149077443</v>
      </c>
    </row>
    <row r="223" spans="1:8" x14ac:dyDescent="0.15">
      <c r="A223" t="s">
        <v>313</v>
      </c>
      <c r="B223" t="s">
        <v>332</v>
      </c>
      <c r="C223" s="51">
        <v>44628</v>
      </c>
      <c r="D223">
        <v>1.8417348773584807</v>
      </c>
      <c r="E223" s="1">
        <v>1.6404889618590919</v>
      </c>
      <c r="F223" s="25">
        <v>1903.9085994347558</v>
      </c>
      <c r="H223" s="28"/>
    </row>
    <row r="224" spans="1:8" x14ac:dyDescent="0.15">
      <c r="A224" t="s">
        <v>314</v>
      </c>
      <c r="B224" t="s">
        <v>332</v>
      </c>
      <c r="C224" s="51">
        <v>44320</v>
      </c>
      <c r="D224">
        <v>1.5935975216554541</v>
      </c>
      <c r="E224" s="1">
        <v>1.5644394962006458</v>
      </c>
      <c r="F224" s="25">
        <v>1815.6475778638167</v>
      </c>
      <c r="H224" s="28"/>
    </row>
    <row r="225" spans="1:8" x14ac:dyDescent="0.15">
      <c r="A225" t="s">
        <v>315</v>
      </c>
      <c r="B225" t="s">
        <v>332</v>
      </c>
      <c r="C225" s="51">
        <v>44510</v>
      </c>
      <c r="D225">
        <v>1.4322718760132602</v>
      </c>
      <c r="E225" s="1">
        <v>1.376288999018646</v>
      </c>
      <c r="F225" s="25">
        <v>1597.2850299276336</v>
      </c>
      <c r="G225" s="25">
        <v>97.862082344566659</v>
      </c>
      <c r="H225" s="28">
        <v>2.8342750801557144</v>
      </c>
    </row>
    <row r="226" spans="1:8" x14ac:dyDescent="0.15">
      <c r="A226" t="s">
        <v>316</v>
      </c>
      <c r="B226" t="s">
        <v>332</v>
      </c>
      <c r="C226" s="51">
        <v>44307</v>
      </c>
      <c r="D226">
        <v>1.6510256338080191</v>
      </c>
      <c r="E226" s="1">
        <v>1.6263616704049757</v>
      </c>
      <c r="F226" s="25">
        <v>1887.5128343235222</v>
      </c>
      <c r="H226" s="28"/>
    </row>
    <row r="227" spans="1:8" x14ac:dyDescent="0.15">
      <c r="A227" t="s">
        <v>317</v>
      </c>
      <c r="B227" t="s">
        <v>332</v>
      </c>
      <c r="C227" s="51">
        <v>44680</v>
      </c>
      <c r="D227">
        <v>1.4763279575632977</v>
      </c>
      <c r="E227" s="1">
        <v>1.4119030282116212</v>
      </c>
      <c r="F227" s="25">
        <v>1638.6177410994203</v>
      </c>
      <c r="H227" s="28"/>
    </row>
    <row r="228" spans="1:8" x14ac:dyDescent="0.15">
      <c r="A228" t="s">
        <v>318</v>
      </c>
      <c r="B228" t="s">
        <v>332</v>
      </c>
      <c r="C228" s="51">
        <v>44697</v>
      </c>
      <c r="D228">
        <v>0.92611753810158493</v>
      </c>
      <c r="E228" s="1">
        <v>0.87973813829867675</v>
      </c>
      <c r="F228" s="25">
        <v>1297.7618104392457</v>
      </c>
      <c r="G228" s="25">
        <v>82.495072987348181</v>
      </c>
      <c r="H228" s="28">
        <v>1.9928615732468784</v>
      </c>
    </row>
    <row r="229" spans="1:8" x14ac:dyDescent="0.15">
      <c r="A229" t="s">
        <v>319</v>
      </c>
      <c r="B229" t="s">
        <v>332</v>
      </c>
      <c r="C229" s="51">
        <v>44323</v>
      </c>
      <c r="D229">
        <v>1.240165709951154</v>
      </c>
      <c r="E229" s="1">
        <v>1.215338612068092</v>
      </c>
      <c r="F229" s="25">
        <v>1410.490218793859</v>
      </c>
      <c r="H229" s="28"/>
    </row>
    <row r="230" spans="1:8" x14ac:dyDescent="0.15">
      <c r="A230" t="s">
        <v>320</v>
      </c>
      <c r="B230" t="s">
        <v>332</v>
      </c>
      <c r="C230" s="51">
        <v>44216</v>
      </c>
      <c r="D230">
        <v>1.9208656980156471</v>
      </c>
      <c r="E230" s="1">
        <v>1.8565656777189132</v>
      </c>
      <c r="F230" s="25">
        <v>2154.6815866524962</v>
      </c>
      <c r="H230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D36A-300D-ED4D-8D79-3B3EE2EA84F2}">
  <sheetPr filterMode="1"/>
  <dimension ref="A1:H230"/>
  <sheetViews>
    <sheetView tabSelected="1" topLeftCell="B101" zoomScale="167" workbookViewId="0">
      <selection activeCell="D205" sqref="D205:G205"/>
    </sheetView>
  </sheetViews>
  <sheetFormatPr baseColWidth="10" defaultRowHeight="13" x14ac:dyDescent="0.15"/>
  <cols>
    <col min="1" max="1" width="14.6640625" bestFit="1" customWidth="1"/>
    <col min="4" max="5" width="10.83203125" style="58"/>
    <col min="6" max="6" width="11.6640625" style="58" bestFit="1" customWidth="1"/>
    <col min="7" max="7" width="10.83203125" style="58"/>
    <col min="8" max="8" width="10.83203125" style="25"/>
  </cols>
  <sheetData>
    <row r="1" spans="1:8" x14ac:dyDescent="0.15">
      <c r="A1" s="24" t="s">
        <v>321</v>
      </c>
      <c r="B1" s="3" t="s">
        <v>328</v>
      </c>
      <c r="C1" s="3" t="s">
        <v>322</v>
      </c>
      <c r="D1" s="57" t="s">
        <v>323</v>
      </c>
      <c r="E1" s="57" t="s">
        <v>327</v>
      </c>
      <c r="F1" s="57" t="s">
        <v>325</v>
      </c>
      <c r="G1" s="57" t="s">
        <v>324</v>
      </c>
      <c r="H1" s="50" t="s">
        <v>326</v>
      </c>
    </row>
    <row r="2" spans="1:8" ht="15" x14ac:dyDescent="0.2">
      <c r="A2" s="29" t="s">
        <v>135</v>
      </c>
      <c r="B2" s="52" t="s">
        <v>329</v>
      </c>
      <c r="C2" s="53">
        <v>43576</v>
      </c>
      <c r="D2" s="58">
        <v>3.6875501976105962</v>
      </c>
      <c r="E2" s="60">
        <v>4270.2216609054585</v>
      </c>
      <c r="F2" s="61">
        <v>2.6400300760375699</v>
      </c>
      <c r="G2" s="59">
        <v>3.6794053566892679</v>
      </c>
      <c r="H2" s="55">
        <v>91.155174916588209</v>
      </c>
    </row>
    <row r="3" spans="1:8" ht="15" hidden="1" x14ac:dyDescent="0.2">
      <c r="A3" s="29" t="s">
        <v>150</v>
      </c>
      <c r="B3" t="s">
        <v>330</v>
      </c>
      <c r="C3" s="51">
        <v>43576</v>
      </c>
      <c r="D3" s="58">
        <v>2.4244589377951309</v>
      </c>
      <c r="E3" s="60">
        <v>2785.7729343701931</v>
      </c>
      <c r="F3" s="61">
        <v>1.0593591947947278</v>
      </c>
      <c r="G3" s="59">
        <v>2.4003409357134537</v>
      </c>
      <c r="H3" s="25">
        <v>36.577641132765358</v>
      </c>
    </row>
    <row r="4" spans="1:8" hidden="1" x14ac:dyDescent="0.15">
      <c r="A4" t="s">
        <v>244</v>
      </c>
      <c r="B4" s="52" t="s">
        <v>331</v>
      </c>
      <c r="C4" s="53">
        <v>43576</v>
      </c>
      <c r="D4" s="58">
        <v>2.2460162095770873</v>
      </c>
      <c r="E4" s="60">
        <v>2582.4375745028365</v>
      </c>
      <c r="F4" s="61">
        <v>1.0411066442030095</v>
      </c>
      <c r="G4" s="59">
        <v>2.2251385055563149</v>
      </c>
      <c r="H4" s="55">
        <v>35.94741556944178</v>
      </c>
    </row>
    <row r="5" spans="1:8" hidden="1" x14ac:dyDescent="0.15">
      <c r="A5" t="s">
        <v>288</v>
      </c>
      <c r="B5" t="s">
        <v>332</v>
      </c>
      <c r="C5" s="51">
        <v>43576</v>
      </c>
      <c r="D5" s="58">
        <v>2.4732182106503271</v>
      </c>
      <c r="E5" s="60">
        <v>2823.4265146754224</v>
      </c>
      <c r="F5" s="61">
        <v>1.1360199072799482</v>
      </c>
      <c r="G5" s="59">
        <v>2.4327848686225986</v>
      </c>
      <c r="H5" s="25">
        <v>39.224588498724493</v>
      </c>
    </row>
    <row r="6" spans="1:8" ht="14" x14ac:dyDescent="0.15">
      <c r="A6" s="43" t="s">
        <v>123</v>
      </c>
      <c r="B6" s="52" t="s">
        <v>329</v>
      </c>
      <c r="C6" s="53">
        <v>43634</v>
      </c>
      <c r="D6" s="58">
        <v>14.839465157685456</v>
      </c>
      <c r="E6" s="60">
        <v>24229.956428803773</v>
      </c>
      <c r="F6" s="61">
        <v>116.14003599864007</v>
      </c>
      <c r="G6" s="59">
        <v>14.78684031046018</v>
      </c>
      <c r="H6" s="55">
        <v>5193.8490595191088</v>
      </c>
    </row>
    <row r="7" spans="1:8" ht="15" hidden="1" x14ac:dyDescent="0.2">
      <c r="A7" s="29" t="s">
        <v>154</v>
      </c>
      <c r="B7" t="s">
        <v>330</v>
      </c>
      <c r="C7" s="51">
        <v>43634</v>
      </c>
    </row>
    <row r="8" spans="1:8" hidden="1" x14ac:dyDescent="0.15">
      <c r="A8" t="s">
        <v>298</v>
      </c>
      <c r="B8" t="s">
        <v>332</v>
      </c>
      <c r="C8" s="51">
        <v>43634</v>
      </c>
      <c r="D8" s="58">
        <v>1.0142055907446095</v>
      </c>
      <c r="E8" s="60">
        <v>1592.0976624294424</v>
      </c>
      <c r="F8" s="61">
        <v>1.9641339560426916</v>
      </c>
      <c r="G8" s="59">
        <v>0.97161107004777925</v>
      </c>
      <c r="H8" s="25">
        <v>87.837197678166135</v>
      </c>
    </row>
    <row r="9" spans="1:8" ht="15" x14ac:dyDescent="0.2">
      <c r="A9" s="29" t="s">
        <v>132</v>
      </c>
      <c r="B9" s="52" t="s">
        <v>329</v>
      </c>
      <c r="C9" s="53">
        <v>43748</v>
      </c>
      <c r="D9" s="58">
        <v>4.2172447633114096</v>
      </c>
      <c r="E9" s="60">
        <v>6137.1122827041581</v>
      </c>
      <c r="F9" s="61">
        <v>9.9029521334751376</v>
      </c>
      <c r="G9" s="59">
        <v>4.2042497527266711</v>
      </c>
      <c r="H9" s="55">
        <v>406.74657159974248</v>
      </c>
    </row>
    <row r="10" spans="1:8" hidden="1" x14ac:dyDescent="0.15">
      <c r="A10" t="s">
        <v>271</v>
      </c>
      <c r="B10" t="s">
        <v>332</v>
      </c>
      <c r="C10" s="51">
        <v>43748</v>
      </c>
      <c r="D10" s="58">
        <v>0.91645075209187088</v>
      </c>
      <c r="E10" s="60">
        <v>1290.9901299327719</v>
      </c>
      <c r="F10" s="61"/>
      <c r="G10" s="59">
        <v>0.88439720254733212</v>
      </c>
    </row>
    <row r="11" spans="1:8" ht="14" x14ac:dyDescent="0.15">
      <c r="A11" s="43" t="s">
        <v>95</v>
      </c>
      <c r="B11" s="52" t="s">
        <v>329</v>
      </c>
      <c r="C11" s="53">
        <v>43789</v>
      </c>
      <c r="D11" s="58">
        <v>4.2951094182437171</v>
      </c>
      <c r="E11" s="60">
        <v>4967.9859441937697</v>
      </c>
      <c r="F11" s="61">
        <v>15.646515266488493</v>
      </c>
      <c r="G11" s="59">
        <v>4.2806288634552088</v>
      </c>
      <c r="H11" s="55">
        <v>540.24416195004346</v>
      </c>
    </row>
    <row r="12" spans="1:8" ht="15" hidden="1" x14ac:dyDescent="0.2">
      <c r="A12" s="29" t="s">
        <v>194</v>
      </c>
      <c r="B12" t="s">
        <v>330</v>
      </c>
      <c r="C12" s="51">
        <v>43789</v>
      </c>
      <c r="D12" s="58">
        <v>1.4539827146103448</v>
      </c>
      <c r="E12" s="60">
        <v>1662.2461689960051</v>
      </c>
      <c r="F12" s="61"/>
      <c r="G12" s="59">
        <v>1.4322622908158966</v>
      </c>
    </row>
    <row r="13" spans="1:8" hidden="1" x14ac:dyDescent="0.15">
      <c r="A13" t="s">
        <v>224</v>
      </c>
      <c r="B13" s="52" t="s">
        <v>331</v>
      </c>
      <c r="C13" s="53">
        <v>43789</v>
      </c>
      <c r="D13" s="58">
        <v>1.2726373809154419</v>
      </c>
      <c r="E13" s="60">
        <v>1465.0020102527419</v>
      </c>
      <c r="F13" s="61"/>
      <c r="G13" s="59">
        <v>1.2623082996917583</v>
      </c>
      <c r="H13" s="55"/>
    </row>
    <row r="14" spans="1:8" hidden="1" x14ac:dyDescent="0.15">
      <c r="A14" t="s">
        <v>309</v>
      </c>
      <c r="B14" t="s">
        <v>332</v>
      </c>
      <c r="C14" s="51">
        <v>43789</v>
      </c>
      <c r="D14" s="58">
        <v>1.7099045769675987</v>
      </c>
      <c r="E14" s="60">
        <v>1936.9320662295972</v>
      </c>
      <c r="F14" s="61"/>
      <c r="G14" s="59">
        <v>1.6689433912236851</v>
      </c>
    </row>
    <row r="15" spans="1:8" ht="14" x14ac:dyDescent="0.15">
      <c r="A15" s="43" t="s">
        <v>94</v>
      </c>
      <c r="B15" s="52" t="s">
        <v>329</v>
      </c>
      <c r="C15" s="53">
        <v>43811</v>
      </c>
      <c r="D15" s="58">
        <v>6.1513368379415114</v>
      </c>
      <c r="E15" s="60">
        <v>7112.75537511726</v>
      </c>
      <c r="F15" s="61">
        <v>39.565232423119419</v>
      </c>
      <c r="G15" s="59">
        <v>6.1286538044672811</v>
      </c>
      <c r="H15" s="55">
        <v>1366.111588985395</v>
      </c>
    </row>
    <row r="16" spans="1:8" hidden="1" x14ac:dyDescent="0.15">
      <c r="A16" t="s">
        <v>308</v>
      </c>
      <c r="B16" t="s">
        <v>332</v>
      </c>
      <c r="C16" s="51">
        <v>43811</v>
      </c>
      <c r="D16" s="58">
        <v>1.2522019335305947</v>
      </c>
      <c r="E16" s="60">
        <v>1405.6937720050628</v>
      </c>
      <c r="F16" s="61"/>
      <c r="G16" s="59">
        <v>1.2112057886670629</v>
      </c>
    </row>
    <row r="17" spans="1:8" ht="14" x14ac:dyDescent="0.15">
      <c r="A17" s="43" t="s">
        <v>111</v>
      </c>
      <c r="B17" s="52" t="s">
        <v>329</v>
      </c>
      <c r="C17" s="53">
        <v>43945</v>
      </c>
      <c r="D17" s="58">
        <v>4.0971431751655469</v>
      </c>
      <c r="E17" s="60">
        <v>4742.7713750949388</v>
      </c>
      <c r="F17" s="61">
        <v>2.1553346687148003</v>
      </c>
      <c r="G17" s="59">
        <v>4.0865743722017038</v>
      </c>
      <c r="H17" s="55">
        <v>74.419572153271332</v>
      </c>
    </row>
    <row r="18" spans="1:8" ht="15" hidden="1" x14ac:dyDescent="0.2">
      <c r="A18" s="29" t="s">
        <v>163</v>
      </c>
      <c r="B18" t="s">
        <v>330</v>
      </c>
      <c r="C18" s="51">
        <v>43951</v>
      </c>
      <c r="D18" s="58">
        <v>1.3708779299387881</v>
      </c>
      <c r="E18" s="60">
        <v>1544.4018990037109</v>
      </c>
      <c r="F18" s="61"/>
      <c r="G18" s="59">
        <v>1.330722634869127</v>
      </c>
    </row>
    <row r="19" spans="1:8" hidden="1" x14ac:dyDescent="0.15">
      <c r="A19" t="s">
        <v>221</v>
      </c>
      <c r="B19" s="52" t="s">
        <v>331</v>
      </c>
      <c r="C19" s="53">
        <v>43951</v>
      </c>
      <c r="D19" s="58">
        <v>2.0166856773924247</v>
      </c>
      <c r="E19" s="60">
        <v>2313.2384238418699</v>
      </c>
      <c r="F19" s="61"/>
      <c r="G19" s="59">
        <v>1.9931850203247927</v>
      </c>
      <c r="H19" s="55"/>
    </row>
    <row r="20" spans="1:8" hidden="1" x14ac:dyDescent="0.15">
      <c r="A20" t="s">
        <v>256</v>
      </c>
      <c r="B20" t="s">
        <v>332</v>
      </c>
      <c r="C20" s="51">
        <v>43951</v>
      </c>
      <c r="D20" s="58">
        <v>1.2498086679239935</v>
      </c>
      <c r="E20" s="60">
        <v>1410.7584047631117</v>
      </c>
      <c r="F20" s="61"/>
      <c r="G20" s="59">
        <v>1.2155696925529509</v>
      </c>
    </row>
    <row r="21" spans="1:8" ht="15" hidden="1" x14ac:dyDescent="0.2">
      <c r="A21" s="29" t="s">
        <v>168</v>
      </c>
      <c r="B21" t="s">
        <v>330</v>
      </c>
      <c r="C21" s="51">
        <v>43956</v>
      </c>
      <c r="D21" s="58">
        <v>1.3843236784791013</v>
      </c>
      <c r="E21" s="60">
        <v>1566.3607448890496</v>
      </c>
      <c r="F21" s="61"/>
      <c r="G21" s="59">
        <v>1.349643314307603</v>
      </c>
    </row>
    <row r="22" spans="1:8" hidden="1" x14ac:dyDescent="0.15">
      <c r="A22" t="s">
        <v>248</v>
      </c>
      <c r="B22" s="52" t="s">
        <v>331</v>
      </c>
      <c r="C22" s="53">
        <v>43956</v>
      </c>
      <c r="D22" s="58">
        <v>2.0077612362789359</v>
      </c>
      <c r="E22" s="60">
        <v>2305.3487398768675</v>
      </c>
      <c r="F22" s="61"/>
      <c r="G22" s="59">
        <v>1.9863869316660274</v>
      </c>
      <c r="H22" s="55"/>
    </row>
    <row r="23" spans="1:8" ht="15" hidden="1" x14ac:dyDescent="0.2">
      <c r="A23" s="29" t="s">
        <v>148</v>
      </c>
      <c r="B23" t="s">
        <v>330</v>
      </c>
      <c r="C23" s="51">
        <v>43964</v>
      </c>
      <c r="D23" s="58">
        <v>1.1896915880821324</v>
      </c>
      <c r="E23" s="60">
        <v>1725.1472139160051</v>
      </c>
      <c r="F23" s="61"/>
      <c r="G23" s="59">
        <v>1.1518330850740586</v>
      </c>
    </row>
    <row r="24" spans="1:8" hidden="1" x14ac:dyDescent="0.15">
      <c r="A24" t="s">
        <v>242</v>
      </c>
      <c r="B24" s="52" t="s">
        <v>331</v>
      </c>
      <c r="C24" s="53">
        <v>43965</v>
      </c>
      <c r="D24" s="58">
        <v>1.999556444463261</v>
      </c>
      <c r="E24" s="60">
        <v>2817.6562364809724</v>
      </c>
      <c r="F24" s="61"/>
      <c r="G24" s="59">
        <v>1.9714131621014375</v>
      </c>
      <c r="H24" s="55"/>
    </row>
    <row r="25" spans="1:8" hidden="1" x14ac:dyDescent="0.15">
      <c r="A25" t="s">
        <v>295</v>
      </c>
      <c r="B25" t="s">
        <v>332</v>
      </c>
      <c r="C25" s="51">
        <v>43966</v>
      </c>
      <c r="D25" s="58">
        <v>1.24740882002193</v>
      </c>
      <c r="E25" s="60">
        <v>1709.2711587053163</v>
      </c>
      <c r="F25" s="61"/>
      <c r="G25" s="59">
        <v>1.2148030359253226</v>
      </c>
    </row>
    <row r="26" spans="1:8" ht="14" x14ac:dyDescent="0.15">
      <c r="A26" s="43" t="s">
        <v>109</v>
      </c>
      <c r="B26" s="52" t="s">
        <v>329</v>
      </c>
      <c r="C26" s="53">
        <v>44053</v>
      </c>
      <c r="D26" s="58">
        <v>19.344304607005153</v>
      </c>
      <c r="E26" s="60">
        <v>34281.097777484247</v>
      </c>
      <c r="F26" s="61">
        <v>1098.2572286878028</v>
      </c>
      <c r="G26" s="59">
        <v>19.292772434118934</v>
      </c>
      <c r="H26" s="55">
        <v>52075.14217337242</v>
      </c>
    </row>
    <row r="27" spans="1:8" ht="15" hidden="1" x14ac:dyDescent="0.2">
      <c r="A27" s="29" t="s">
        <v>165</v>
      </c>
      <c r="B27" t="s">
        <v>330</v>
      </c>
      <c r="C27" s="51">
        <v>44053</v>
      </c>
      <c r="D27" s="58">
        <v>2.9777313464106867</v>
      </c>
      <c r="E27" s="60">
        <v>5052.7393251395579</v>
      </c>
      <c r="F27" s="61"/>
      <c r="G27" s="59">
        <v>2.8435889247650268</v>
      </c>
    </row>
    <row r="28" spans="1:8" hidden="1" x14ac:dyDescent="0.15">
      <c r="A28" t="s">
        <v>201</v>
      </c>
      <c r="B28" s="52" t="s">
        <v>331</v>
      </c>
      <c r="C28" s="53">
        <v>44053</v>
      </c>
      <c r="D28" s="58">
        <v>4.6347300245487597</v>
      </c>
      <c r="E28" s="60">
        <v>8076.1847862425211</v>
      </c>
      <c r="F28" s="61"/>
      <c r="G28" s="59">
        <v>4.5451285203359912</v>
      </c>
      <c r="H28" s="55"/>
    </row>
    <row r="29" spans="1:8" hidden="1" x14ac:dyDescent="0.15">
      <c r="A29" t="s">
        <v>267</v>
      </c>
      <c r="B29" t="s">
        <v>332</v>
      </c>
      <c r="C29" s="51">
        <v>44053</v>
      </c>
      <c r="D29" s="58">
        <v>2.7537995261457069</v>
      </c>
      <c r="E29" s="60">
        <v>4712.4262568292479</v>
      </c>
      <c r="F29" s="61">
        <v>3.8002863057522451</v>
      </c>
      <c r="G29" s="59">
        <v>2.6520669780092887</v>
      </c>
      <c r="H29" s="25">
        <v>180.19498939061828</v>
      </c>
    </row>
    <row r="30" spans="1:8" ht="14" x14ac:dyDescent="0.15">
      <c r="A30" s="43" t="s">
        <v>122</v>
      </c>
      <c r="B30" s="52" t="s">
        <v>329</v>
      </c>
      <c r="C30" s="53">
        <v>44067</v>
      </c>
      <c r="D30" s="58">
        <v>21.470220358639583</v>
      </c>
      <c r="E30" s="60">
        <v>32885.785785875734</v>
      </c>
      <c r="F30" s="61">
        <v>1314.8344795753171</v>
      </c>
      <c r="G30" s="59">
        <v>21.404835372710153</v>
      </c>
      <c r="H30" s="55">
        <v>56089.11851373496</v>
      </c>
    </row>
    <row r="31" spans="1:8" ht="15" hidden="1" x14ac:dyDescent="0.2">
      <c r="A31" s="29" t="s">
        <v>153</v>
      </c>
      <c r="B31" t="s">
        <v>330</v>
      </c>
      <c r="C31" s="51">
        <v>44067</v>
      </c>
      <c r="D31" s="58">
        <v>2.8105459135463908</v>
      </c>
      <c r="E31" s="60">
        <v>4123.5076618338599</v>
      </c>
      <c r="F31" s="61"/>
      <c r="G31" s="59">
        <v>2.683925609512765</v>
      </c>
    </row>
    <row r="32" spans="1:8" hidden="1" x14ac:dyDescent="0.15">
      <c r="A32" t="s">
        <v>266</v>
      </c>
      <c r="B32" t="s">
        <v>332</v>
      </c>
      <c r="C32" s="51">
        <v>44067</v>
      </c>
      <c r="D32" s="58">
        <v>2.7644550211425791</v>
      </c>
      <c r="E32" s="60">
        <v>4038.3632202697936</v>
      </c>
      <c r="F32" s="61">
        <v>7.7313428980478127</v>
      </c>
      <c r="G32" s="59">
        <v>2.6285064455479215</v>
      </c>
      <c r="H32" s="25">
        <v>329.80897201523879</v>
      </c>
    </row>
    <row r="33" spans="1:8" ht="15" x14ac:dyDescent="0.2">
      <c r="A33" s="29" t="s">
        <v>138</v>
      </c>
      <c r="B33" s="52" t="s">
        <v>329</v>
      </c>
      <c r="C33" s="53">
        <v>44111</v>
      </c>
      <c r="D33" s="58">
        <v>4.8547005276432573</v>
      </c>
      <c r="E33" s="60">
        <v>7186.1346569293801</v>
      </c>
      <c r="F33" s="61">
        <v>6.9872838798005636</v>
      </c>
      <c r="G33" s="59">
        <v>4.8411743503102587</v>
      </c>
      <c r="H33" s="55">
        <v>290.57902817431113</v>
      </c>
    </row>
    <row r="34" spans="1:8" ht="15" hidden="1" x14ac:dyDescent="0.2">
      <c r="A34" s="29" t="s">
        <v>161</v>
      </c>
      <c r="B34" t="s">
        <v>330</v>
      </c>
      <c r="C34" s="51">
        <v>44111</v>
      </c>
      <c r="D34" s="58">
        <v>2.4232982381920105</v>
      </c>
      <c r="E34" s="60">
        <v>3555.6797709087546</v>
      </c>
      <c r="F34" s="61"/>
      <c r="G34" s="59">
        <v>2.395399825724374</v>
      </c>
    </row>
    <row r="35" spans="1:8" hidden="1" x14ac:dyDescent="0.15">
      <c r="A35" s="25" t="s">
        <v>204</v>
      </c>
      <c r="B35" s="52" t="s">
        <v>331</v>
      </c>
      <c r="C35" s="53">
        <v>44111</v>
      </c>
      <c r="D35" s="58">
        <v>2.9920457639022926</v>
      </c>
      <c r="E35" s="60">
        <v>4414.1729260558723</v>
      </c>
      <c r="F35" s="61"/>
      <c r="G35" s="59">
        <v>2.9737517827959734</v>
      </c>
      <c r="H35" s="55"/>
    </row>
    <row r="36" spans="1:8" hidden="1" x14ac:dyDescent="0.15">
      <c r="A36" t="s">
        <v>255</v>
      </c>
      <c r="B36" t="s">
        <v>332</v>
      </c>
      <c r="C36" s="51">
        <v>44111</v>
      </c>
      <c r="D36" s="58">
        <v>3.1282056927433692</v>
      </c>
      <c r="E36" s="60">
        <v>4582.2232797413872</v>
      </c>
      <c r="F36" s="61"/>
      <c r="G36" s="59">
        <v>3.0869643930047719</v>
      </c>
    </row>
    <row r="37" spans="1:8" ht="15" x14ac:dyDescent="0.2">
      <c r="A37" s="29" t="s">
        <v>144</v>
      </c>
      <c r="B37" s="52" t="s">
        <v>329</v>
      </c>
      <c r="C37" s="53">
        <v>44125</v>
      </c>
      <c r="D37" s="58">
        <v>4.1749477516068705</v>
      </c>
      <c r="E37" s="60">
        <v>5085.4886623933144</v>
      </c>
      <c r="F37" s="61">
        <v>6.4467923093192034</v>
      </c>
      <c r="G37" s="59">
        <v>4.1627453334684414</v>
      </c>
      <c r="H37" s="55">
        <v>231.52610784741319</v>
      </c>
    </row>
    <row r="38" spans="1:8" ht="15" hidden="1" x14ac:dyDescent="0.2">
      <c r="A38" s="29" t="s">
        <v>187</v>
      </c>
      <c r="B38" t="s">
        <v>330</v>
      </c>
      <c r="C38" s="51">
        <v>44125</v>
      </c>
      <c r="D38" s="58">
        <v>1.5420645121515228</v>
      </c>
      <c r="E38" s="60">
        <v>1838.1398649160496</v>
      </c>
      <c r="F38" s="61"/>
      <c r="G38" s="59">
        <v>1.5046161053361939</v>
      </c>
    </row>
    <row r="39" spans="1:8" hidden="1" x14ac:dyDescent="0.15">
      <c r="A39" t="s">
        <v>225</v>
      </c>
      <c r="B39" s="52" t="s">
        <v>331</v>
      </c>
      <c r="C39" s="53">
        <v>44125</v>
      </c>
      <c r="D39" s="58">
        <v>2.4373522925548619</v>
      </c>
      <c r="E39" s="60">
        <v>2943.2388861954078</v>
      </c>
      <c r="F39" s="61"/>
      <c r="G39" s="59">
        <v>2.4091989486467202</v>
      </c>
      <c r="H39" s="55"/>
    </row>
    <row r="40" spans="1:8" hidden="1" x14ac:dyDescent="0.15">
      <c r="A40" t="s">
        <v>296</v>
      </c>
      <c r="B40" t="s">
        <v>332</v>
      </c>
      <c r="C40" s="51">
        <v>44125</v>
      </c>
      <c r="D40" s="58">
        <v>1.5239424152313876</v>
      </c>
      <c r="E40" s="60">
        <v>1823.1069280277286</v>
      </c>
      <c r="F40" s="61"/>
      <c r="G40" s="59">
        <v>1.49231083989672</v>
      </c>
    </row>
    <row r="41" spans="1:8" ht="14" x14ac:dyDescent="0.15">
      <c r="A41" s="43" t="s">
        <v>99</v>
      </c>
      <c r="B41" s="52" t="s">
        <v>329</v>
      </c>
      <c r="C41" s="53">
        <v>44138</v>
      </c>
      <c r="D41" s="58">
        <v>2.8250026171853801</v>
      </c>
      <c r="E41" s="60">
        <v>3270.5342718554998</v>
      </c>
      <c r="F41" s="61">
        <v>1.8129154779802483</v>
      </c>
      <c r="G41" s="59">
        <v>2.8180320073945175</v>
      </c>
      <c r="H41" s="55">
        <v>62.596494261275204</v>
      </c>
    </row>
    <row r="42" spans="1:8" ht="15" hidden="1" x14ac:dyDescent="0.2">
      <c r="A42" s="29" t="s">
        <v>147</v>
      </c>
      <c r="B42" t="s">
        <v>330</v>
      </c>
      <c r="C42" s="51">
        <v>44138</v>
      </c>
      <c r="D42" s="58">
        <v>1.8920711863683288</v>
      </c>
      <c r="E42" s="60">
        <v>2171.4302486400211</v>
      </c>
      <c r="F42" s="61"/>
      <c r="G42" s="59">
        <v>1.8709970401932465</v>
      </c>
    </row>
    <row r="43" spans="1:8" hidden="1" x14ac:dyDescent="0.15">
      <c r="A43" t="s">
        <v>212</v>
      </c>
      <c r="B43" s="52" t="s">
        <v>331</v>
      </c>
      <c r="C43" s="53">
        <v>44138</v>
      </c>
      <c r="D43" s="58">
        <v>2.6988475661420082</v>
      </c>
      <c r="E43" s="60">
        <v>3114.8957566250388</v>
      </c>
      <c r="F43" s="61"/>
      <c r="G43" s="59">
        <v>2.6839272156248328</v>
      </c>
      <c r="H43" s="55"/>
    </row>
    <row r="44" spans="1:8" hidden="1" x14ac:dyDescent="0.15">
      <c r="A44" t="s">
        <v>300</v>
      </c>
      <c r="B44" t="s">
        <v>332</v>
      </c>
      <c r="C44" s="51">
        <v>44138</v>
      </c>
      <c r="D44" s="58">
        <v>2.0684145036495432</v>
      </c>
      <c r="E44" s="60">
        <v>2378.2336525865944</v>
      </c>
      <c r="F44" s="61"/>
      <c r="G44" s="59">
        <v>2.0491876852430995</v>
      </c>
    </row>
    <row r="45" spans="1:8" ht="14" x14ac:dyDescent="0.15">
      <c r="A45" s="43" t="s">
        <v>112</v>
      </c>
      <c r="B45" s="52" t="s">
        <v>329</v>
      </c>
      <c r="C45" s="53">
        <v>44153</v>
      </c>
      <c r="D45" s="58">
        <v>3.3647596855780448</v>
      </c>
      <c r="E45" s="60">
        <v>3894.9788275798278</v>
      </c>
      <c r="F45" s="61">
        <v>1.8160594489142663</v>
      </c>
      <c r="G45" s="59">
        <v>3.3560801055347818</v>
      </c>
      <c r="H45" s="55">
        <v>62.705049547453314</v>
      </c>
    </row>
    <row r="46" spans="1:8" ht="15" hidden="1" x14ac:dyDescent="0.2">
      <c r="A46" s="29" t="s">
        <v>155</v>
      </c>
      <c r="B46" t="s">
        <v>330</v>
      </c>
      <c r="C46" s="51">
        <v>44153</v>
      </c>
      <c r="D46" s="58">
        <v>1.8814292934903927</v>
      </c>
      <c r="E46" s="60">
        <v>2145.3443005776921</v>
      </c>
      <c r="F46" s="61"/>
      <c r="G46" s="59">
        <v>1.8485202732578039</v>
      </c>
    </row>
    <row r="47" spans="1:8" hidden="1" x14ac:dyDescent="0.15">
      <c r="A47" t="s">
        <v>238</v>
      </c>
      <c r="B47" s="52" t="s">
        <v>331</v>
      </c>
      <c r="C47" s="53">
        <v>44153</v>
      </c>
      <c r="D47" s="58">
        <v>2.7702298542285093</v>
      </c>
      <c r="E47" s="60">
        <v>3189.5453152674431</v>
      </c>
      <c r="F47" s="61"/>
      <c r="G47" s="59">
        <v>2.7482484635024229</v>
      </c>
      <c r="H47" s="55"/>
    </row>
    <row r="48" spans="1:8" hidden="1" x14ac:dyDescent="0.15">
      <c r="A48" t="s">
        <v>268</v>
      </c>
      <c r="B48" t="s">
        <v>332</v>
      </c>
      <c r="C48" s="51">
        <v>44153</v>
      </c>
      <c r="D48" s="58">
        <v>2.0471076013253713</v>
      </c>
      <c r="E48" s="60">
        <v>2344.8233287321204</v>
      </c>
      <c r="F48" s="61"/>
      <c r="G48" s="59">
        <v>2.0203999233139425</v>
      </c>
    </row>
    <row r="49" spans="1:8" ht="15" x14ac:dyDescent="0.2">
      <c r="A49" s="29" t="s">
        <v>141</v>
      </c>
      <c r="B49" s="52" t="s">
        <v>329</v>
      </c>
      <c r="C49" s="53">
        <v>44166</v>
      </c>
      <c r="D49" s="58">
        <v>4.1261115348442647</v>
      </c>
      <c r="E49" s="60">
        <v>4774.2199907821587</v>
      </c>
      <c r="F49" s="61">
        <v>2.4507093984335149</v>
      </c>
      <c r="G49" s="59">
        <v>4.1136718425928507</v>
      </c>
      <c r="H49" s="55">
        <v>84.618295038224645</v>
      </c>
    </row>
    <row r="50" spans="1:8" ht="15" hidden="1" x14ac:dyDescent="0.2">
      <c r="A50" s="29" t="s">
        <v>158</v>
      </c>
      <c r="B50" t="s">
        <v>330</v>
      </c>
      <c r="C50" s="51">
        <v>44166</v>
      </c>
      <c r="D50" s="58">
        <v>2.0122368347113913</v>
      </c>
      <c r="E50" s="60">
        <v>2280.6449813299737</v>
      </c>
      <c r="F50" s="61"/>
      <c r="G50" s="59">
        <v>1.9651011182479654</v>
      </c>
    </row>
    <row r="51" spans="1:8" hidden="1" x14ac:dyDescent="0.15">
      <c r="A51" t="s">
        <v>246</v>
      </c>
      <c r="B51" s="52" t="s">
        <v>331</v>
      </c>
      <c r="C51" s="53">
        <v>44166</v>
      </c>
      <c r="D51" s="58">
        <v>2.7065466473413156</v>
      </c>
      <c r="E51" s="60">
        <v>3105.3610505249458</v>
      </c>
      <c r="F51" s="61"/>
      <c r="G51" s="59">
        <v>2.6757117056384732</v>
      </c>
      <c r="H51" s="55"/>
    </row>
    <row r="52" spans="1:8" hidden="1" x14ac:dyDescent="0.15">
      <c r="A52" t="s">
        <v>278</v>
      </c>
      <c r="B52" t="s">
        <v>332</v>
      </c>
      <c r="C52" s="51">
        <v>44166</v>
      </c>
      <c r="D52" s="58">
        <v>1.827651785119458</v>
      </c>
      <c r="E52" s="60">
        <v>2075.7019080162318</v>
      </c>
      <c r="F52" s="61"/>
      <c r="G52" s="59">
        <v>1.7885134135228085</v>
      </c>
    </row>
    <row r="53" spans="1:8" ht="15" x14ac:dyDescent="0.2">
      <c r="A53" s="29" t="s">
        <v>129</v>
      </c>
      <c r="B53" s="52" t="s">
        <v>329</v>
      </c>
      <c r="C53" s="53">
        <v>44180</v>
      </c>
      <c r="D53" s="58">
        <v>3.8369289573462604</v>
      </c>
      <c r="E53" s="60">
        <v>4438.6833728804113</v>
      </c>
      <c r="F53" s="61">
        <v>3.0098264082580704</v>
      </c>
      <c r="G53" s="59">
        <v>3.8245591624301758</v>
      </c>
      <c r="H53" s="55">
        <v>103.92353299441217</v>
      </c>
    </row>
    <row r="54" spans="1:8" ht="15" hidden="1" x14ac:dyDescent="0.2">
      <c r="A54" s="29" t="s">
        <v>162</v>
      </c>
      <c r="B54" t="s">
        <v>330</v>
      </c>
      <c r="C54" s="51">
        <v>44180</v>
      </c>
      <c r="D54" s="58">
        <v>1.7697134943275898</v>
      </c>
      <c r="E54" s="60">
        <v>2004.6819345213639</v>
      </c>
      <c r="F54" s="61"/>
      <c r="G54" s="59">
        <v>1.727319571221531</v>
      </c>
    </row>
    <row r="55" spans="1:8" hidden="1" x14ac:dyDescent="0.15">
      <c r="A55" t="s">
        <v>241</v>
      </c>
      <c r="B55" s="52" t="s">
        <v>331</v>
      </c>
      <c r="C55" s="53">
        <v>44180</v>
      </c>
      <c r="D55" s="58">
        <v>2.6420975479544482</v>
      </c>
      <c r="E55" s="60">
        <v>3030.6168363178826</v>
      </c>
      <c r="F55" s="61"/>
      <c r="G55" s="59">
        <v>2.6113088984838013</v>
      </c>
      <c r="H55" s="55"/>
    </row>
    <row r="56" spans="1:8" hidden="1" x14ac:dyDescent="0.15">
      <c r="A56" t="s">
        <v>299</v>
      </c>
      <c r="B56" t="s">
        <v>332</v>
      </c>
      <c r="C56" s="51">
        <v>44180</v>
      </c>
      <c r="D56" s="58">
        <v>1.3860102496496374</v>
      </c>
      <c r="E56" s="60">
        <v>1574.1204879132733</v>
      </c>
      <c r="F56" s="61"/>
      <c r="G56" s="59">
        <v>1.3563294403022446</v>
      </c>
    </row>
    <row r="57" spans="1:8" ht="15" x14ac:dyDescent="0.2">
      <c r="A57" s="29" t="s">
        <v>142</v>
      </c>
      <c r="B57" s="52" t="s">
        <v>329</v>
      </c>
      <c r="C57" s="53">
        <v>44216</v>
      </c>
      <c r="D57" s="58">
        <v>4.2048035110976798</v>
      </c>
      <c r="E57" s="60">
        <v>4861.1642957109307</v>
      </c>
      <c r="F57" s="61">
        <v>4.2576671772058656</v>
      </c>
      <c r="G57" s="59">
        <v>4.1885867689577543</v>
      </c>
      <c r="H57" s="55">
        <v>147.00908137278887</v>
      </c>
    </row>
    <row r="58" spans="1:8" hidden="1" x14ac:dyDescent="0.15">
      <c r="A58" s="25" t="s">
        <v>196</v>
      </c>
      <c r="B58" t="s">
        <v>330</v>
      </c>
      <c r="C58" s="51">
        <v>44216</v>
      </c>
      <c r="D58" s="58">
        <v>2.4356570733959129</v>
      </c>
      <c r="E58" s="60">
        <v>2734.2139371717085</v>
      </c>
      <c r="F58" s="61"/>
      <c r="G58" s="59">
        <v>2.3559155017331945</v>
      </c>
    </row>
    <row r="59" spans="1:8" hidden="1" x14ac:dyDescent="0.15">
      <c r="A59" t="s">
        <v>220</v>
      </c>
      <c r="B59" s="52" t="s">
        <v>331</v>
      </c>
      <c r="C59" s="53">
        <v>44216</v>
      </c>
      <c r="D59" s="58">
        <v>2.6300202744712231</v>
      </c>
      <c r="E59" s="60">
        <v>3001.2946055431644</v>
      </c>
      <c r="F59" s="61"/>
      <c r="G59" s="59">
        <v>2.5860436121474235</v>
      </c>
      <c r="H59" s="55"/>
    </row>
    <row r="60" spans="1:8" hidden="1" x14ac:dyDescent="0.15">
      <c r="A60" t="s">
        <v>320</v>
      </c>
      <c r="B60" t="s">
        <v>332</v>
      </c>
      <c r="C60" s="51">
        <v>44216</v>
      </c>
      <c r="D60" s="58">
        <v>1.9208656980156471</v>
      </c>
      <c r="E60" s="60">
        <v>2154.6815866524962</v>
      </c>
      <c r="F60" s="61"/>
      <c r="G60" s="59">
        <v>1.8565656777189132</v>
      </c>
    </row>
    <row r="61" spans="1:8" ht="15" x14ac:dyDescent="0.2">
      <c r="A61" s="29" t="s">
        <v>137</v>
      </c>
      <c r="B61" s="52" t="s">
        <v>329</v>
      </c>
      <c r="C61" s="53">
        <v>44244</v>
      </c>
      <c r="D61" s="58">
        <v>3.9853666651500435</v>
      </c>
      <c r="E61" s="60">
        <v>4605.3532011751531</v>
      </c>
      <c r="F61" s="61"/>
      <c r="G61" s="59">
        <v>3.9681690046640137</v>
      </c>
      <c r="H61" s="55"/>
    </row>
    <row r="62" spans="1:8" ht="15" hidden="1" x14ac:dyDescent="0.2">
      <c r="A62" s="29" t="s">
        <v>170</v>
      </c>
      <c r="B62" t="s">
        <v>330</v>
      </c>
      <c r="C62" s="51">
        <v>44244</v>
      </c>
      <c r="D62" s="58">
        <v>2.3424648606147289</v>
      </c>
      <c r="E62" s="60">
        <v>2599.9673438689206</v>
      </c>
      <c r="F62" s="61"/>
      <c r="G62" s="59">
        <v>2.2402429035077369</v>
      </c>
    </row>
    <row r="63" spans="1:8" hidden="1" x14ac:dyDescent="0.15">
      <c r="A63" t="s">
        <v>252</v>
      </c>
      <c r="B63" s="52" t="s">
        <v>331</v>
      </c>
      <c r="C63" s="53">
        <v>44244</v>
      </c>
      <c r="D63" s="58">
        <v>2.0632840279725646</v>
      </c>
      <c r="E63" s="60">
        <v>2344.4527857212561</v>
      </c>
      <c r="F63" s="61"/>
      <c r="G63" s="59">
        <v>2.0200806476305417</v>
      </c>
      <c r="H63" s="55"/>
    </row>
    <row r="64" spans="1:8" hidden="1" x14ac:dyDescent="0.15">
      <c r="A64" t="s">
        <v>286</v>
      </c>
      <c r="B64" t="s">
        <v>332</v>
      </c>
      <c r="C64" s="51">
        <v>44244</v>
      </c>
      <c r="D64" s="58">
        <v>2.1882305354414493</v>
      </c>
      <c r="E64" s="60">
        <v>2421.2354167808949</v>
      </c>
      <c r="F64" s="61"/>
      <c r="G64" s="59">
        <v>2.0862398418025903</v>
      </c>
    </row>
    <row r="65" spans="1:8" ht="15" x14ac:dyDescent="0.2">
      <c r="A65" s="29" t="s">
        <v>136</v>
      </c>
      <c r="B65" s="52" t="s">
        <v>329</v>
      </c>
      <c r="C65" s="53">
        <v>44272</v>
      </c>
      <c r="D65" s="58">
        <v>3.8623621475325982</v>
      </c>
      <c r="E65" s="60">
        <v>4457.7750943883511</v>
      </c>
      <c r="F65" s="61"/>
      <c r="G65" s="59">
        <v>3.8410094050552472</v>
      </c>
      <c r="H65" s="55"/>
    </row>
    <row r="66" spans="1:8" ht="15" hidden="1" x14ac:dyDescent="0.2">
      <c r="A66" s="29" t="s">
        <v>157</v>
      </c>
      <c r="B66" t="s">
        <v>330</v>
      </c>
      <c r="C66" s="51">
        <v>44272</v>
      </c>
      <c r="D66" s="58">
        <v>3.1835243207708177</v>
      </c>
      <c r="E66" s="60">
        <v>3514.8015279949636</v>
      </c>
      <c r="F66" s="61"/>
      <c r="G66" s="59">
        <v>3.0285031075089694</v>
      </c>
    </row>
    <row r="67" spans="1:8" hidden="1" x14ac:dyDescent="0.15">
      <c r="A67" t="s">
        <v>200</v>
      </c>
      <c r="B67" s="52" t="s">
        <v>331</v>
      </c>
      <c r="C67" s="53">
        <v>44272</v>
      </c>
      <c r="D67" s="58">
        <v>2.3711332078952299</v>
      </c>
      <c r="E67" s="60">
        <v>2691.6074998866129</v>
      </c>
      <c r="F67" s="61"/>
      <c r="G67" s="59">
        <v>2.3192039757223912</v>
      </c>
      <c r="H67" s="55"/>
    </row>
    <row r="68" spans="1:8" hidden="1" x14ac:dyDescent="0.15">
      <c r="A68" t="s">
        <v>260</v>
      </c>
      <c r="B68" t="s">
        <v>332</v>
      </c>
      <c r="C68" s="51">
        <v>44272</v>
      </c>
      <c r="D68" s="58">
        <v>2.5229223904905909</v>
      </c>
      <c r="E68" s="60">
        <v>2797.4238769762219</v>
      </c>
      <c r="F68" s="61"/>
      <c r="G68" s="59">
        <v>2.4103798854540659</v>
      </c>
    </row>
    <row r="69" spans="1:8" ht="15" x14ac:dyDescent="0.2">
      <c r="A69" s="29" t="s">
        <v>139</v>
      </c>
      <c r="B69" s="52" t="s">
        <v>329</v>
      </c>
      <c r="C69" s="53">
        <v>44286</v>
      </c>
      <c r="D69" s="58">
        <v>4.1540682069526698</v>
      </c>
      <c r="E69" s="60">
        <v>4800.2989240813422</v>
      </c>
      <c r="F69" s="61">
        <v>2.4886255330848392</v>
      </c>
      <c r="G69" s="59">
        <v>4.1361425653087798</v>
      </c>
      <c r="H69" s="55">
        <v>85.927466444139043</v>
      </c>
    </row>
    <row r="70" spans="1:8" ht="15" hidden="1" x14ac:dyDescent="0.2">
      <c r="A70" s="29" t="s">
        <v>185</v>
      </c>
      <c r="B70" t="s">
        <v>330</v>
      </c>
      <c r="C70" s="51">
        <v>44286</v>
      </c>
      <c r="D70" s="58">
        <v>3.0267933780116043</v>
      </c>
      <c r="E70" s="60">
        <v>3402.8120317976918</v>
      </c>
      <c r="F70" s="61"/>
      <c r="G70" s="59">
        <v>2.9320081747110778</v>
      </c>
    </row>
    <row r="71" spans="1:8" hidden="1" x14ac:dyDescent="0.15">
      <c r="A71" t="s">
        <v>243</v>
      </c>
      <c r="B71" s="52" t="s">
        <v>331</v>
      </c>
      <c r="C71" s="53">
        <v>44286</v>
      </c>
      <c r="D71" s="58">
        <v>3.3302159776696652</v>
      </c>
      <c r="E71" s="60">
        <v>3815.6632306286588</v>
      </c>
      <c r="F71" s="61"/>
      <c r="G71" s="59">
        <v>3.287738399772075</v>
      </c>
      <c r="H71" s="55"/>
    </row>
    <row r="72" spans="1:8" hidden="1" x14ac:dyDescent="0.15">
      <c r="A72" t="s">
        <v>257</v>
      </c>
      <c r="B72" t="s">
        <v>332</v>
      </c>
      <c r="C72" s="51">
        <v>44286</v>
      </c>
      <c r="D72" s="58">
        <v>2.2776442210339578</v>
      </c>
      <c r="E72" s="60">
        <v>2588.0243662488069</v>
      </c>
      <c r="F72" s="61"/>
      <c r="G72" s="59">
        <v>2.2299523239266881</v>
      </c>
    </row>
    <row r="73" spans="1:8" ht="14" x14ac:dyDescent="0.15">
      <c r="A73" s="43" t="s">
        <v>104</v>
      </c>
      <c r="B73" s="52" t="s">
        <v>329</v>
      </c>
      <c r="C73" s="53">
        <v>44294</v>
      </c>
      <c r="D73" s="58">
        <v>3.5489247448138359</v>
      </c>
      <c r="E73" s="60">
        <v>4103.9379783072245</v>
      </c>
      <c r="F73" s="61"/>
      <c r="G73" s="59">
        <v>3.5361282340791433</v>
      </c>
      <c r="H73" s="55"/>
    </row>
    <row r="74" spans="1:8" ht="15" hidden="1" x14ac:dyDescent="0.2">
      <c r="A74" s="29" t="s">
        <v>193</v>
      </c>
      <c r="B74" t="s">
        <v>330</v>
      </c>
      <c r="C74" s="51">
        <v>44294</v>
      </c>
      <c r="D74" s="58">
        <v>2.4026615905499971</v>
      </c>
      <c r="E74" s="60">
        <v>2695.1237108681539</v>
      </c>
      <c r="F74" s="61"/>
      <c r="G74" s="59">
        <v>2.3222336932752712</v>
      </c>
    </row>
    <row r="75" spans="1:8" hidden="1" x14ac:dyDescent="0.15">
      <c r="A75" t="s">
        <v>234</v>
      </c>
      <c r="B75" s="52" t="s">
        <v>331</v>
      </c>
      <c r="C75" s="53">
        <v>44294</v>
      </c>
      <c r="D75" s="58">
        <v>3.1520017595513261</v>
      </c>
      <c r="E75" s="60">
        <v>3608.2002890491035</v>
      </c>
      <c r="F75" s="61"/>
      <c r="G75" s="59">
        <v>3.1089794689299541</v>
      </c>
      <c r="H75" s="55"/>
    </row>
    <row r="76" spans="1:8" hidden="1" x14ac:dyDescent="0.15">
      <c r="A76" t="s">
        <v>306</v>
      </c>
      <c r="B76" t="s">
        <v>332</v>
      </c>
      <c r="C76" s="51">
        <v>44294</v>
      </c>
      <c r="D76" s="58">
        <v>2.167812307402619</v>
      </c>
      <c r="E76" s="60">
        <v>2459.5564072906664</v>
      </c>
      <c r="F76" s="61"/>
      <c r="G76" s="59">
        <v>2.119258843847883</v>
      </c>
    </row>
    <row r="77" spans="1:8" ht="15" x14ac:dyDescent="0.2">
      <c r="A77" s="29" t="s">
        <v>143</v>
      </c>
      <c r="B77" s="52" t="s">
        <v>329</v>
      </c>
      <c r="C77" s="53">
        <v>44299</v>
      </c>
      <c r="D77" s="58">
        <v>3.3298949394981379</v>
      </c>
      <c r="E77" s="60">
        <v>3849.6843777918034</v>
      </c>
      <c r="F77" s="61"/>
      <c r="G77" s="59">
        <v>3.3170524731511715</v>
      </c>
      <c r="H77" s="55"/>
    </row>
    <row r="78" spans="1:8" hidden="1" x14ac:dyDescent="0.15">
      <c r="A78" t="s">
        <v>197</v>
      </c>
      <c r="B78" t="s">
        <v>330</v>
      </c>
      <c r="C78" s="51">
        <v>44299</v>
      </c>
      <c r="D78" s="58">
        <v>1.965308460622307</v>
      </c>
      <c r="E78" s="60">
        <v>2191.7331729503776</v>
      </c>
      <c r="F78" s="61"/>
      <c r="G78" s="59">
        <v>1.8884909068812215</v>
      </c>
    </row>
    <row r="79" spans="1:8" hidden="1" x14ac:dyDescent="0.15">
      <c r="A79" t="s">
        <v>253</v>
      </c>
      <c r="B79" s="52" t="s">
        <v>331</v>
      </c>
      <c r="C79" s="53">
        <v>44299</v>
      </c>
      <c r="D79" s="58">
        <v>2.6823736956473336</v>
      </c>
      <c r="E79" s="60">
        <v>3064.441998616262</v>
      </c>
      <c r="F79" s="61"/>
      <c r="G79" s="59">
        <v>2.6404541029332464</v>
      </c>
      <c r="H79" s="55"/>
    </row>
    <row r="80" spans="1:8" hidden="1" x14ac:dyDescent="0.15">
      <c r="A80" t="s">
        <v>305</v>
      </c>
      <c r="B80" t="s">
        <v>332</v>
      </c>
      <c r="C80" s="51">
        <v>44299</v>
      </c>
      <c r="D80" s="58">
        <v>1.801260854044241</v>
      </c>
      <c r="E80" s="60">
        <v>2030.6123393746241</v>
      </c>
      <c r="F80" s="61"/>
      <c r="G80" s="59">
        <v>1.7496623154850635</v>
      </c>
    </row>
    <row r="81" spans="1:8" ht="14" x14ac:dyDescent="0.15">
      <c r="A81" s="43" t="s">
        <v>110</v>
      </c>
      <c r="B81" s="52" t="s">
        <v>329</v>
      </c>
      <c r="C81" s="53">
        <v>44306</v>
      </c>
      <c r="D81" s="58">
        <v>2.6033284229816362</v>
      </c>
      <c r="E81" s="60">
        <v>3006.7644007539379</v>
      </c>
      <c r="F81" s="61"/>
      <c r="G81" s="59">
        <v>2.5907566213063546</v>
      </c>
      <c r="H81" s="55"/>
    </row>
    <row r="82" spans="1:8" ht="15" hidden="1" x14ac:dyDescent="0.2">
      <c r="A82" s="29" t="s">
        <v>192</v>
      </c>
      <c r="B82" t="s">
        <v>330</v>
      </c>
      <c r="C82" s="51">
        <v>44306</v>
      </c>
      <c r="D82" s="58">
        <v>1.9286386338091717</v>
      </c>
      <c r="E82" s="60">
        <v>2182.252528103917</v>
      </c>
      <c r="F82" s="61"/>
      <c r="G82" s="59">
        <v>1.8803219783798519</v>
      </c>
    </row>
    <row r="83" spans="1:8" hidden="1" x14ac:dyDescent="0.15">
      <c r="A83" t="s">
        <v>236</v>
      </c>
      <c r="B83" s="52" t="s">
        <v>331</v>
      </c>
      <c r="C83" s="53">
        <v>44306</v>
      </c>
      <c r="D83" s="58">
        <v>2.6325930424763411</v>
      </c>
      <c r="E83" s="60">
        <v>3024.2300476849778</v>
      </c>
      <c r="F83" s="61"/>
      <c r="G83" s="59">
        <v>2.6058057686291858</v>
      </c>
      <c r="H83" s="55"/>
    </row>
    <row r="84" spans="1:8" hidden="1" x14ac:dyDescent="0.15">
      <c r="A84" t="s">
        <v>258</v>
      </c>
      <c r="B84" t="s">
        <v>332</v>
      </c>
      <c r="C84" s="51">
        <v>44306</v>
      </c>
      <c r="D84" s="58">
        <v>2.4028858237028272</v>
      </c>
      <c r="E84" s="60">
        <v>2747.996185607954</v>
      </c>
      <c r="F84" s="61"/>
      <c r="G84" s="59">
        <v>2.3677908756014423</v>
      </c>
    </row>
    <row r="85" spans="1:8" ht="15" x14ac:dyDescent="0.2">
      <c r="A85" s="29" t="s">
        <v>131</v>
      </c>
      <c r="B85" s="52" t="s">
        <v>329</v>
      </c>
      <c r="C85" s="53">
        <v>44307</v>
      </c>
      <c r="D85" s="58">
        <v>2.6982379937401593</v>
      </c>
      <c r="E85" s="60">
        <v>3117.0478960181549</v>
      </c>
      <c r="F85" s="61"/>
      <c r="G85" s="59">
        <v>2.6857815908400289</v>
      </c>
      <c r="H85" s="55"/>
    </row>
    <row r="86" spans="1:8" ht="15" hidden="1" x14ac:dyDescent="0.2">
      <c r="A86" s="29" t="s">
        <v>179</v>
      </c>
      <c r="B86" t="s">
        <v>330</v>
      </c>
      <c r="C86" s="51">
        <v>44307</v>
      </c>
      <c r="D86" s="58">
        <v>2.1400053547486646</v>
      </c>
      <c r="E86" s="60">
        <v>2426.7457525398195</v>
      </c>
      <c r="F86" s="61"/>
      <c r="G86" s="59">
        <v>2.0909877824292238</v>
      </c>
    </row>
    <row r="87" spans="1:8" hidden="1" x14ac:dyDescent="0.15">
      <c r="A87" s="25" t="s">
        <v>203</v>
      </c>
      <c r="B87" s="52" t="s">
        <v>331</v>
      </c>
      <c r="C87" s="53">
        <v>44307</v>
      </c>
      <c r="D87" s="58">
        <v>2.9473881446437118</v>
      </c>
      <c r="E87" s="60">
        <v>3385.0597580342242</v>
      </c>
      <c r="F87" s="61"/>
      <c r="G87" s="59">
        <v>2.9167120574680987</v>
      </c>
      <c r="H87" s="55"/>
    </row>
    <row r="88" spans="1:8" hidden="1" x14ac:dyDescent="0.15">
      <c r="A88" t="s">
        <v>316</v>
      </c>
      <c r="B88" t="s">
        <v>332</v>
      </c>
      <c r="C88" s="51">
        <v>44307</v>
      </c>
      <c r="D88" s="58">
        <v>1.6510256338080191</v>
      </c>
      <c r="E88" s="60">
        <v>1887.5128343235222</v>
      </c>
      <c r="F88" s="61"/>
      <c r="G88" s="59">
        <v>1.6263616704049757</v>
      </c>
    </row>
    <row r="89" spans="1:8" ht="14" x14ac:dyDescent="0.15">
      <c r="A89" s="43" t="s">
        <v>125</v>
      </c>
      <c r="B89" s="52" t="s">
        <v>329</v>
      </c>
      <c r="C89" s="53">
        <v>44313</v>
      </c>
      <c r="D89" s="58">
        <v>2.8045687309049114</v>
      </c>
      <c r="E89" s="60">
        <v>3241.7793189455983</v>
      </c>
      <c r="F89" s="61">
        <v>2.2389420836465277</v>
      </c>
      <c r="G89" s="59">
        <v>2.7932555118939058</v>
      </c>
      <c r="H89" s="55">
        <v>77.306375830850698</v>
      </c>
    </row>
    <row r="90" spans="1:8" ht="15" hidden="1" x14ac:dyDescent="0.2">
      <c r="A90" s="29" t="s">
        <v>190</v>
      </c>
      <c r="B90" t="s">
        <v>330</v>
      </c>
      <c r="C90" s="51">
        <v>44313</v>
      </c>
      <c r="D90" s="58">
        <v>1.550347380826024</v>
      </c>
      <c r="E90" s="60">
        <v>1750.0003432011733</v>
      </c>
      <c r="F90" s="61"/>
      <c r="G90" s="59">
        <v>1.5078750351374348</v>
      </c>
    </row>
    <row r="91" spans="1:8" hidden="1" x14ac:dyDescent="0.15">
      <c r="A91" t="s">
        <v>216</v>
      </c>
      <c r="B91" s="52" t="s">
        <v>331</v>
      </c>
      <c r="C91" s="53">
        <v>44313</v>
      </c>
      <c r="D91" s="58">
        <v>2.588283680706378</v>
      </c>
      <c r="E91" s="60">
        <v>2966.4348271486033</v>
      </c>
      <c r="F91" s="61"/>
      <c r="G91" s="59">
        <v>2.556006938282875</v>
      </c>
      <c r="H91" s="55"/>
    </row>
    <row r="92" spans="1:8" hidden="1" x14ac:dyDescent="0.15">
      <c r="A92" t="s">
        <v>254</v>
      </c>
      <c r="B92" t="s">
        <v>332</v>
      </c>
      <c r="C92" s="51">
        <v>44313</v>
      </c>
      <c r="D92" s="58">
        <v>1.5319080655544071</v>
      </c>
      <c r="E92" s="60">
        <v>1740.6649220693946</v>
      </c>
      <c r="F92" s="61"/>
      <c r="G92" s="59">
        <v>1.4998312375908849</v>
      </c>
    </row>
    <row r="93" spans="1:8" ht="14" x14ac:dyDescent="0.15">
      <c r="A93" s="43" t="s">
        <v>101</v>
      </c>
      <c r="B93" s="52" t="s">
        <v>329</v>
      </c>
      <c r="C93" s="53">
        <v>44315</v>
      </c>
      <c r="D93" s="58">
        <v>2.738233584141605</v>
      </c>
      <c r="E93" s="60">
        <v>3164.5137984869693</v>
      </c>
      <c r="F93" s="61"/>
      <c r="G93" s="59">
        <v>2.7266802395923309</v>
      </c>
      <c r="H93" s="55"/>
    </row>
    <row r="94" spans="1:8" ht="15" hidden="1" x14ac:dyDescent="0.2">
      <c r="A94" s="29" t="s">
        <v>176</v>
      </c>
      <c r="B94" t="s">
        <v>330</v>
      </c>
      <c r="C94" s="51">
        <v>44315</v>
      </c>
      <c r="D94" s="58">
        <v>1.5314441834092085</v>
      </c>
      <c r="E94" s="60">
        <v>1728.6628014501105</v>
      </c>
      <c r="F94" s="61"/>
      <c r="G94" s="59">
        <v>1.4894896978758574</v>
      </c>
    </row>
    <row r="95" spans="1:8" hidden="1" x14ac:dyDescent="0.15">
      <c r="A95" t="s">
        <v>176</v>
      </c>
      <c r="B95" t="s">
        <v>330</v>
      </c>
      <c r="C95" s="51">
        <v>44315</v>
      </c>
      <c r="D95" s="58">
        <v>1.6111247310141517</v>
      </c>
      <c r="E95" s="60">
        <v>1822.9858905202527</v>
      </c>
      <c r="F95" s="61"/>
      <c r="G95" s="59">
        <v>1.5707624997918519</v>
      </c>
    </row>
    <row r="96" spans="1:8" hidden="1" x14ac:dyDescent="0.15">
      <c r="A96" t="s">
        <v>218</v>
      </c>
      <c r="B96" s="52" t="s">
        <v>331</v>
      </c>
      <c r="C96" s="53">
        <v>44315</v>
      </c>
      <c r="D96" s="58">
        <v>2.3997155886834141</v>
      </c>
      <c r="E96" s="60">
        <v>2751.0925003874017</v>
      </c>
      <c r="F96" s="61"/>
      <c r="G96" s="59">
        <v>2.3704587926535705</v>
      </c>
      <c r="H96" s="55"/>
    </row>
    <row r="97" spans="1:8" hidden="1" x14ac:dyDescent="0.15">
      <c r="A97" t="s">
        <v>287</v>
      </c>
      <c r="B97" t="s">
        <v>332</v>
      </c>
      <c r="C97" s="51">
        <v>44315</v>
      </c>
      <c r="D97" s="58">
        <v>1.5219345994326519</v>
      </c>
      <c r="E97" s="60">
        <v>1730.9572816912153</v>
      </c>
      <c r="F97" s="61"/>
      <c r="G97" s="59">
        <v>1.4914667200448068</v>
      </c>
    </row>
    <row r="98" spans="1:8" ht="14" x14ac:dyDescent="0.15">
      <c r="A98" s="43" t="s">
        <v>121</v>
      </c>
      <c r="B98" s="52" t="s">
        <v>329</v>
      </c>
      <c r="C98" s="53">
        <v>44320</v>
      </c>
      <c r="D98" s="58">
        <v>3.1214866685101557</v>
      </c>
      <c r="E98" s="60">
        <v>3607.7702943440113</v>
      </c>
      <c r="F98" s="61">
        <v>2.3759212688266826</v>
      </c>
      <c r="G98" s="59">
        <v>3.1086089671277284</v>
      </c>
      <c r="H98" s="55">
        <v>82.036004367420091</v>
      </c>
    </row>
    <row r="99" spans="1:8" hidden="1" x14ac:dyDescent="0.15">
      <c r="A99" t="s">
        <v>211</v>
      </c>
      <c r="B99" s="52" t="s">
        <v>331</v>
      </c>
      <c r="C99" s="53">
        <v>44320</v>
      </c>
      <c r="D99" s="58">
        <v>2.321211749247337</v>
      </c>
      <c r="E99" s="60">
        <v>2663.2463782637142</v>
      </c>
      <c r="F99" s="61"/>
      <c r="G99" s="59">
        <v>2.2947668220785022</v>
      </c>
      <c r="H99" s="55"/>
    </row>
    <row r="100" spans="1:8" hidden="1" x14ac:dyDescent="0.15">
      <c r="A100" t="s">
        <v>314</v>
      </c>
      <c r="B100" t="s">
        <v>332</v>
      </c>
      <c r="C100" s="51">
        <v>44320</v>
      </c>
      <c r="D100" s="58">
        <v>1.5935975216554541</v>
      </c>
      <c r="E100" s="60">
        <v>1815.6475778638167</v>
      </c>
      <c r="F100" s="61"/>
      <c r="G100" s="59">
        <v>1.5644394962006458</v>
      </c>
    </row>
    <row r="101" spans="1:8" ht="15" x14ac:dyDescent="0.2">
      <c r="A101" s="29" t="s">
        <v>140</v>
      </c>
      <c r="B101" s="52" t="s">
        <v>329</v>
      </c>
      <c r="C101" s="53">
        <v>44323</v>
      </c>
      <c r="D101" s="58">
        <v>2.5470508491450317</v>
      </c>
      <c r="E101" s="60">
        <v>2943.5682931681481</v>
      </c>
      <c r="F101" s="61">
        <v>1.9799341412081717</v>
      </c>
      <c r="G101" s="59">
        <v>2.5363041560158845</v>
      </c>
      <c r="H101" s="55">
        <v>68.363328358758963</v>
      </c>
    </row>
    <row r="102" spans="1:8" ht="15" hidden="1" x14ac:dyDescent="0.2">
      <c r="A102" s="29" t="s">
        <v>145</v>
      </c>
      <c r="B102" t="s">
        <v>330</v>
      </c>
      <c r="C102" s="51">
        <v>44323</v>
      </c>
      <c r="D102" s="58">
        <v>1.2338532284196688</v>
      </c>
      <c r="E102" s="60">
        <v>1396.1035933984188</v>
      </c>
      <c r="F102" s="61"/>
      <c r="G102" s="59">
        <v>1.2029424811999252</v>
      </c>
    </row>
    <row r="103" spans="1:8" hidden="1" x14ac:dyDescent="0.15">
      <c r="A103" t="s">
        <v>222</v>
      </c>
      <c r="B103" s="52" t="s">
        <v>331</v>
      </c>
      <c r="C103" s="53">
        <v>44323</v>
      </c>
      <c r="D103" s="58">
        <v>2.0599153062791791</v>
      </c>
      <c r="E103" s="60">
        <v>2362.1882956586624</v>
      </c>
      <c r="F103" s="61"/>
      <c r="G103" s="59">
        <v>2.0353623204450324</v>
      </c>
      <c r="H103" s="55"/>
    </row>
    <row r="104" spans="1:8" hidden="1" x14ac:dyDescent="0.15">
      <c r="A104" t="s">
        <v>319</v>
      </c>
      <c r="B104" t="s">
        <v>332</v>
      </c>
      <c r="C104" s="51">
        <v>44323</v>
      </c>
      <c r="D104" s="58">
        <v>1.240165709951154</v>
      </c>
      <c r="E104" s="60">
        <v>1410.490218793859</v>
      </c>
      <c r="F104" s="61"/>
      <c r="G104" s="59">
        <v>1.215338612068092</v>
      </c>
    </row>
    <row r="105" spans="1:8" ht="15" x14ac:dyDescent="0.2">
      <c r="A105" s="29" t="s">
        <v>130</v>
      </c>
      <c r="B105" s="52" t="s">
        <v>329</v>
      </c>
      <c r="C105" s="53">
        <v>44326</v>
      </c>
      <c r="D105" s="58">
        <v>2.3594895627893213</v>
      </c>
      <c r="E105" s="60">
        <v>2809.3924839244823</v>
      </c>
      <c r="F105" s="61">
        <v>1.8493426416744068</v>
      </c>
      <c r="G105" s="59">
        <v>2.3483602643422716</v>
      </c>
      <c r="H105" s="55">
        <v>65.359179970029331</v>
      </c>
    </row>
    <row r="106" spans="1:8" hidden="1" x14ac:dyDescent="0.15">
      <c r="A106" t="s">
        <v>263</v>
      </c>
      <c r="B106" t="s">
        <v>332</v>
      </c>
      <c r="C106" s="51">
        <v>44326</v>
      </c>
      <c r="D106" s="58">
        <v>1.1421879380954492</v>
      </c>
      <c r="E106" s="60">
        <v>1335.156414455583</v>
      </c>
      <c r="F106" s="61"/>
      <c r="G106" s="59">
        <v>1.116052060482936</v>
      </c>
    </row>
    <row r="107" spans="1:8" ht="14" x14ac:dyDescent="0.15">
      <c r="A107" s="43" t="s">
        <v>120</v>
      </c>
      <c r="B107" s="52" t="s">
        <v>329</v>
      </c>
      <c r="C107" s="53">
        <v>44330</v>
      </c>
      <c r="D107" s="58">
        <v>2.6372888610044805</v>
      </c>
      <c r="E107" s="60">
        <v>3751.8208897480999</v>
      </c>
      <c r="F107" s="61">
        <v>2.2390836103786107</v>
      </c>
      <c r="G107" s="59">
        <v>2.6250147154693466</v>
      </c>
      <c r="H107" s="55">
        <v>90.532297604893245</v>
      </c>
    </row>
    <row r="108" spans="1:8" ht="15" hidden="1" x14ac:dyDescent="0.2">
      <c r="A108" s="29" t="s">
        <v>178</v>
      </c>
      <c r="B108" t="s">
        <v>330</v>
      </c>
      <c r="C108" s="51">
        <v>44330</v>
      </c>
      <c r="D108" s="58">
        <v>1.2981455304767053</v>
      </c>
      <c r="E108" s="60">
        <v>1791.3724177259346</v>
      </c>
      <c r="F108" s="61"/>
      <c r="G108" s="59">
        <v>1.2533591276347422</v>
      </c>
    </row>
    <row r="109" spans="1:8" hidden="1" x14ac:dyDescent="0.15">
      <c r="A109" s="25" t="s">
        <v>205</v>
      </c>
      <c r="B109" s="52" t="s">
        <v>331</v>
      </c>
      <c r="C109" s="53">
        <v>44330</v>
      </c>
      <c r="D109" s="58">
        <v>2.1701205285821477</v>
      </c>
      <c r="E109" s="60">
        <v>3058.0050181660281</v>
      </c>
      <c r="F109" s="61"/>
      <c r="G109" s="59">
        <v>2.1395765972196745</v>
      </c>
      <c r="H109" s="55"/>
    </row>
    <row r="110" spans="1:8" hidden="1" x14ac:dyDescent="0.15">
      <c r="A110" t="s">
        <v>276</v>
      </c>
      <c r="B110" t="s">
        <v>332</v>
      </c>
      <c r="C110" s="51">
        <v>44330</v>
      </c>
      <c r="D110" s="58">
        <v>1.2074327046004096</v>
      </c>
      <c r="E110" s="60">
        <v>1674.7747578170995</v>
      </c>
      <c r="F110" s="61"/>
      <c r="G110" s="59">
        <v>1.1717799206192032</v>
      </c>
    </row>
    <row r="111" spans="1:8" ht="14" x14ac:dyDescent="0.15">
      <c r="A111" s="43" t="s">
        <v>97</v>
      </c>
      <c r="B111" s="52" t="s">
        <v>329</v>
      </c>
      <c r="C111" s="53">
        <v>44341</v>
      </c>
      <c r="D111" s="58">
        <v>3.8125998849887393</v>
      </c>
      <c r="E111" s="60">
        <v>5583.4354169332046</v>
      </c>
      <c r="F111" s="61"/>
      <c r="G111" s="59">
        <v>3.7964428543901714</v>
      </c>
      <c r="H111" s="55"/>
    </row>
    <row r="112" spans="1:8" ht="14" x14ac:dyDescent="0.15">
      <c r="A112" s="43" t="s">
        <v>105</v>
      </c>
      <c r="B112" s="52" t="s">
        <v>329</v>
      </c>
      <c r="C112" s="53">
        <v>44368</v>
      </c>
      <c r="D112" s="58">
        <v>2.8037857639586257</v>
      </c>
      <c r="E112" s="60">
        <v>4514.3044210841263</v>
      </c>
      <c r="F112" s="61">
        <v>4.0175443284930763</v>
      </c>
      <c r="G112" s="59">
        <v>2.7917165551932763</v>
      </c>
      <c r="H112" s="55">
        <v>177.93839774649868</v>
      </c>
    </row>
    <row r="113" spans="1:8" ht="14" x14ac:dyDescent="0.15">
      <c r="A113" s="43" t="s">
        <v>100</v>
      </c>
      <c r="B113" s="52" t="s">
        <v>329</v>
      </c>
      <c r="C113" s="53">
        <v>44384</v>
      </c>
      <c r="D113" s="58">
        <v>19.506646747567498</v>
      </c>
      <c r="E113" s="60">
        <v>38318.216791987754</v>
      </c>
      <c r="F113" s="61">
        <v>1146.4769805440392</v>
      </c>
      <c r="G113" s="59">
        <v>19.432898144491407</v>
      </c>
      <c r="H113" s="55">
        <v>58522.01443790042</v>
      </c>
    </row>
    <row r="114" spans="1:8" ht="15" hidden="1" x14ac:dyDescent="0.2">
      <c r="A114" s="29" t="s">
        <v>182</v>
      </c>
      <c r="B114" t="s">
        <v>330</v>
      </c>
      <c r="C114" s="51">
        <v>44384</v>
      </c>
      <c r="D114" s="58">
        <v>2.9078267030460601</v>
      </c>
      <c r="E114" s="60">
        <v>5493.6814086595041</v>
      </c>
      <c r="F114" s="61">
        <v>4.5697620099658183</v>
      </c>
      <c r="G114" s="59">
        <v>2.7860939310487192</v>
      </c>
      <c r="H114" s="25">
        <v>233.26388829724587</v>
      </c>
    </row>
    <row r="115" spans="1:8" hidden="1" x14ac:dyDescent="0.15">
      <c r="A115" t="s">
        <v>233</v>
      </c>
      <c r="B115" s="52" t="s">
        <v>331</v>
      </c>
      <c r="C115" s="53">
        <v>44384</v>
      </c>
      <c r="D115" s="58">
        <v>2.7452241544698475</v>
      </c>
      <c r="E115" s="60">
        <v>5311.5392269395488</v>
      </c>
      <c r="F115" s="61">
        <v>2.8086004498569741</v>
      </c>
      <c r="G115" s="59">
        <v>2.693721405354375</v>
      </c>
      <c r="H115" s="55">
        <v>143.36524750704297</v>
      </c>
    </row>
    <row r="116" spans="1:8" hidden="1" x14ac:dyDescent="0.15">
      <c r="A116" t="s">
        <v>312</v>
      </c>
      <c r="B116" t="s">
        <v>332</v>
      </c>
      <c r="C116" s="51">
        <v>44384</v>
      </c>
      <c r="D116" s="58">
        <v>1.9919205800077933</v>
      </c>
      <c r="E116" s="60">
        <v>3789.9255023911442</v>
      </c>
      <c r="F116" s="61">
        <v>11.724132149077443</v>
      </c>
      <c r="G116" s="59">
        <v>1.9220423712039074</v>
      </c>
      <c r="H116" s="25">
        <v>598.45931714614744</v>
      </c>
    </row>
    <row r="117" spans="1:8" ht="14" x14ac:dyDescent="0.15">
      <c r="A117" s="43" t="s">
        <v>107</v>
      </c>
      <c r="B117" s="52" t="s">
        <v>329</v>
      </c>
      <c r="C117" s="53">
        <v>44396</v>
      </c>
      <c r="D117" s="58">
        <v>3.685305487968408</v>
      </c>
      <c r="E117" s="60">
        <v>6344.9348272129091</v>
      </c>
      <c r="F117" s="61">
        <v>20.758788368090787</v>
      </c>
      <c r="G117" s="59">
        <v>3.6718056546920792</v>
      </c>
      <c r="H117" s="55">
        <v>964.77017561522098</v>
      </c>
    </row>
    <row r="118" spans="1:8" ht="15" hidden="1" x14ac:dyDescent="0.2">
      <c r="A118" s="29" t="s">
        <v>172</v>
      </c>
      <c r="B118" t="s">
        <v>330</v>
      </c>
      <c r="C118" s="51">
        <v>44396</v>
      </c>
      <c r="D118" s="58">
        <v>1.7737340262716554</v>
      </c>
      <c r="E118" s="60">
        <v>2965.3482151833568</v>
      </c>
      <c r="F118" s="61">
        <v>3.6892501330708223</v>
      </c>
      <c r="G118" s="59">
        <v>1.7160432126020881</v>
      </c>
      <c r="H118" s="25">
        <v>171.45887494292933</v>
      </c>
    </row>
    <row r="119" spans="1:8" hidden="1" x14ac:dyDescent="0.15">
      <c r="A119" t="s">
        <v>239</v>
      </c>
      <c r="B119" s="52" t="s">
        <v>331</v>
      </c>
      <c r="C119" s="53">
        <v>44396</v>
      </c>
      <c r="D119" s="58">
        <v>2.2856892586032846</v>
      </c>
      <c r="E119" s="60">
        <v>3900.7785198395386</v>
      </c>
      <c r="F119" s="61"/>
      <c r="G119" s="59">
        <v>2.2573755313322468</v>
      </c>
      <c r="H119" s="55"/>
    </row>
    <row r="120" spans="1:8" hidden="1" x14ac:dyDescent="0.15">
      <c r="A120" t="s">
        <v>281</v>
      </c>
      <c r="B120" t="s">
        <v>332</v>
      </c>
      <c r="C120" s="51">
        <v>44396</v>
      </c>
      <c r="D120" s="58">
        <v>1.9243453874704479</v>
      </c>
      <c r="E120" s="60">
        <v>3254.5583092433044</v>
      </c>
      <c r="F120" s="61">
        <v>9.7121107702235374</v>
      </c>
      <c r="G120" s="59">
        <v>1.8834087234673598</v>
      </c>
      <c r="H120" s="25">
        <v>451.3729147981486</v>
      </c>
    </row>
    <row r="121" spans="1:8" ht="14" x14ac:dyDescent="0.15">
      <c r="A121" s="43" t="s">
        <v>102</v>
      </c>
      <c r="B121" s="52" t="s">
        <v>329</v>
      </c>
      <c r="C121" s="53">
        <v>44411</v>
      </c>
      <c r="D121" s="58">
        <v>4.2464307954636293</v>
      </c>
      <c r="E121" s="60">
        <v>7107.23899399333</v>
      </c>
      <c r="F121" s="61">
        <v>68.242459506163883</v>
      </c>
      <c r="G121" s="59">
        <v>4.2311404865891902</v>
      </c>
      <c r="H121" s="55">
        <v>3107.3053020314178</v>
      </c>
    </row>
    <row r="122" spans="1:8" ht="15" hidden="1" x14ac:dyDescent="0.2">
      <c r="A122" s="29" t="s">
        <v>174</v>
      </c>
      <c r="B122" t="s">
        <v>330</v>
      </c>
      <c r="C122" s="51">
        <v>44411</v>
      </c>
      <c r="D122" s="58">
        <v>1.5863173303695683</v>
      </c>
      <c r="E122" s="60">
        <v>2584.909722440565</v>
      </c>
      <c r="F122" s="61">
        <v>2.9071892218840754</v>
      </c>
      <c r="G122" s="59">
        <v>1.5388699029313329</v>
      </c>
      <c r="H122" s="25">
        <v>132.37395821516429</v>
      </c>
    </row>
    <row r="123" spans="1:8" ht="15" hidden="1" x14ac:dyDescent="0.2">
      <c r="A123" s="29" t="s">
        <v>174</v>
      </c>
      <c r="B123" t="s">
        <v>330</v>
      </c>
      <c r="C123" s="51">
        <v>44411</v>
      </c>
      <c r="D123" s="58">
        <v>1.9550071502140505</v>
      </c>
      <c r="E123" s="60">
        <v>3185.6910929995274</v>
      </c>
      <c r="F123" s="61">
        <v>3.7446245719689064</v>
      </c>
      <c r="G123" s="59">
        <v>1.8965320531290295</v>
      </c>
      <c r="H123" s="25">
        <v>170.50516453829067</v>
      </c>
    </row>
    <row r="124" spans="1:8" hidden="1" x14ac:dyDescent="0.15">
      <c r="A124" t="s">
        <v>251</v>
      </c>
      <c r="B124" s="52" t="s">
        <v>331</v>
      </c>
      <c r="C124" s="53">
        <v>44411</v>
      </c>
      <c r="D124" s="58">
        <v>2.8407618912297656</v>
      </c>
      <c r="E124" s="60">
        <v>4709.5888963743228</v>
      </c>
      <c r="F124" s="61">
        <v>2.3829111837154215</v>
      </c>
      <c r="G124" s="59">
        <v>2.8037515371977086</v>
      </c>
      <c r="H124" s="55">
        <v>108.50184194724251</v>
      </c>
    </row>
    <row r="125" spans="1:8" hidden="1" x14ac:dyDescent="0.15">
      <c r="A125" t="s">
        <v>292</v>
      </c>
      <c r="B125" t="s">
        <v>332</v>
      </c>
      <c r="C125" s="51">
        <v>44411</v>
      </c>
      <c r="D125" s="58">
        <v>2.1057494916995618</v>
      </c>
      <c r="E125" s="60">
        <v>3464.8044324761258</v>
      </c>
      <c r="F125" s="61">
        <v>8.8460767210566758</v>
      </c>
      <c r="G125" s="59">
        <v>2.0626961221865976</v>
      </c>
      <c r="H125" s="25">
        <v>402.79118449758323</v>
      </c>
    </row>
    <row r="126" spans="1:8" ht="15" x14ac:dyDescent="0.2">
      <c r="A126" s="29" t="s">
        <v>134</v>
      </c>
      <c r="B126" s="52" t="s">
        <v>329</v>
      </c>
      <c r="C126" s="53">
        <v>44426</v>
      </c>
      <c r="D126" s="58">
        <v>3.5669141266619362</v>
      </c>
      <c r="E126" s="60">
        <v>6070.2312646617893</v>
      </c>
      <c r="F126" s="61">
        <v>12.430882301904356</v>
      </c>
      <c r="G126" s="59">
        <v>3.5555734151670042</v>
      </c>
      <c r="H126" s="55">
        <v>572.70926876925012</v>
      </c>
    </row>
    <row r="127" spans="1:8" ht="15" hidden="1" x14ac:dyDescent="0.2">
      <c r="A127" s="29" t="s">
        <v>186</v>
      </c>
      <c r="B127" t="s">
        <v>330</v>
      </c>
      <c r="C127" s="51">
        <v>44426</v>
      </c>
      <c r="D127" s="58">
        <v>1.8953131109717287</v>
      </c>
      <c r="E127" s="60">
        <v>3195.973101335454</v>
      </c>
      <c r="F127" s="61">
        <v>4.96284016333927</v>
      </c>
      <c r="G127" s="59">
        <v>1.8720072595669572</v>
      </c>
      <c r="H127" s="25">
        <v>228.64544059992238</v>
      </c>
    </row>
    <row r="128" spans="1:8" hidden="1" x14ac:dyDescent="0.15">
      <c r="A128" t="s">
        <v>209</v>
      </c>
      <c r="B128" s="52" t="s">
        <v>331</v>
      </c>
      <c r="C128" s="53">
        <v>44426</v>
      </c>
      <c r="D128" s="58">
        <v>2.5451288109277375</v>
      </c>
      <c r="E128" s="60">
        <v>4317.4142358334848</v>
      </c>
      <c r="F128" s="61"/>
      <c r="G128" s="59">
        <v>2.5288794791986229</v>
      </c>
      <c r="H128" s="55"/>
    </row>
    <row r="129" spans="1:8" hidden="1" x14ac:dyDescent="0.15">
      <c r="A129" t="s">
        <v>265</v>
      </c>
      <c r="B129" t="s">
        <v>332</v>
      </c>
      <c r="C129" s="51">
        <v>44426</v>
      </c>
      <c r="D129" s="58">
        <v>2.4723595984049851</v>
      </c>
      <c r="E129" s="60">
        <v>4183.0977664117027</v>
      </c>
      <c r="F129" s="61">
        <v>3.5786689627780675</v>
      </c>
      <c r="G129" s="59">
        <v>2.450205035495729</v>
      </c>
      <c r="H129" s="25">
        <v>164.87461107453794</v>
      </c>
    </row>
    <row r="130" spans="1:8" ht="14" x14ac:dyDescent="0.15">
      <c r="A130" s="43" t="s">
        <v>113</v>
      </c>
      <c r="B130" s="52" t="s">
        <v>329</v>
      </c>
      <c r="C130" s="53">
        <v>44440</v>
      </c>
      <c r="D130" s="58">
        <v>5.1393628330772794</v>
      </c>
      <c r="E130" s="60">
        <v>7815.1096922990519</v>
      </c>
      <c r="F130" s="61">
        <v>110.92146808175065</v>
      </c>
      <c r="G130" s="59">
        <v>5.122323547536217</v>
      </c>
      <c r="H130" s="55">
        <v>4707.4980074999721</v>
      </c>
    </row>
    <row r="131" spans="1:8" hidden="1" x14ac:dyDescent="0.15">
      <c r="A131" t="s">
        <v>223</v>
      </c>
      <c r="B131" s="52" t="s">
        <v>331</v>
      </c>
      <c r="C131" s="53">
        <v>44440</v>
      </c>
      <c r="D131" s="58">
        <v>2.3090452643677746</v>
      </c>
      <c r="E131" s="60">
        <v>3479.7058854939373</v>
      </c>
      <c r="F131" s="61">
        <v>1.9559927643110291</v>
      </c>
      <c r="G131" s="59">
        <v>2.2807331051705853</v>
      </c>
      <c r="H131" s="55">
        <v>83.012172484881219</v>
      </c>
    </row>
    <row r="132" spans="1:8" hidden="1" x14ac:dyDescent="0.15">
      <c r="A132" t="s">
        <v>275</v>
      </c>
      <c r="B132" t="s">
        <v>332</v>
      </c>
      <c r="C132" s="51">
        <v>44440</v>
      </c>
      <c r="D132" s="58">
        <v>1.9527699318090253</v>
      </c>
      <c r="E132" s="60">
        <v>2921.9880064503022</v>
      </c>
      <c r="F132" s="61">
        <v>6.7157951182709574</v>
      </c>
      <c r="G132" s="59">
        <v>1.9151833512724097</v>
      </c>
      <c r="H132" s="25">
        <v>285.01779398320065</v>
      </c>
    </row>
    <row r="133" spans="1:8" ht="14" x14ac:dyDescent="0.15">
      <c r="A133" s="43" t="s">
        <v>127</v>
      </c>
      <c r="B133" s="52" t="s">
        <v>329</v>
      </c>
      <c r="C133" s="53">
        <v>44452</v>
      </c>
      <c r="D133" s="58">
        <v>4.6873212846656527</v>
      </c>
      <c r="E133" s="60">
        <v>6929.2637151085464</v>
      </c>
      <c r="F133" s="61">
        <v>47.796870559765658</v>
      </c>
      <c r="G133" s="59">
        <v>4.6713609100317584</v>
      </c>
      <c r="H133" s="55">
        <v>1986.6996216934226</v>
      </c>
    </row>
    <row r="134" spans="1:8" ht="15" hidden="1" x14ac:dyDescent="0.2">
      <c r="A134" s="29" t="s">
        <v>181</v>
      </c>
      <c r="B134" t="s">
        <v>330</v>
      </c>
      <c r="C134" s="51">
        <v>44452</v>
      </c>
      <c r="D134" s="58">
        <v>1.5774458133965834</v>
      </c>
      <c r="E134" s="60">
        <v>2253.4709482694734</v>
      </c>
      <c r="F134" s="61">
        <v>3.8396542742465845</v>
      </c>
      <c r="G134" s="59">
        <v>1.5191767166669765</v>
      </c>
      <c r="H134" s="25">
        <v>159.59705321169091</v>
      </c>
    </row>
    <row r="135" spans="1:8" hidden="1" x14ac:dyDescent="0.15">
      <c r="A135" t="s">
        <v>229</v>
      </c>
      <c r="B135" s="52" t="s">
        <v>331</v>
      </c>
      <c r="C135" s="53">
        <v>44452</v>
      </c>
      <c r="D135" s="58">
        <v>2.4958652824677645</v>
      </c>
      <c r="E135" s="60">
        <v>3652.3408088390165</v>
      </c>
      <c r="F135" s="61"/>
      <c r="G135" s="59">
        <v>2.4622243842911802</v>
      </c>
      <c r="H135" s="55"/>
    </row>
    <row r="136" spans="1:8" hidden="1" x14ac:dyDescent="0.15">
      <c r="A136" t="s">
        <v>261</v>
      </c>
      <c r="B136" t="s">
        <v>332</v>
      </c>
      <c r="C136" s="51">
        <v>44452</v>
      </c>
      <c r="D136" s="58">
        <v>1.9908724201063486</v>
      </c>
      <c r="E136" s="60">
        <v>2883.2942455401871</v>
      </c>
      <c r="F136" s="61">
        <v>5.2079877235386469</v>
      </c>
      <c r="G136" s="59">
        <v>1.9437718904200996</v>
      </c>
      <c r="H136" s="25">
        <v>216.47248279990629</v>
      </c>
    </row>
    <row r="137" spans="1:8" ht="14" x14ac:dyDescent="0.15">
      <c r="A137" s="43" t="s">
        <v>108</v>
      </c>
      <c r="B137" s="52" t="s">
        <v>329</v>
      </c>
      <c r="C137" s="53">
        <v>44481</v>
      </c>
      <c r="D137" s="58">
        <v>3.1145379199266015</v>
      </c>
      <c r="E137" s="60">
        <v>4215.626168565117</v>
      </c>
      <c r="F137" s="61">
        <v>11.26147804304474</v>
      </c>
      <c r="G137" s="59">
        <v>3.103593608832619</v>
      </c>
      <c r="H137" s="55">
        <v>438.29115735303094</v>
      </c>
    </row>
    <row r="138" spans="1:8" ht="15" hidden="1" x14ac:dyDescent="0.2">
      <c r="A138" s="29" t="s">
        <v>169</v>
      </c>
      <c r="B138" t="s">
        <v>330</v>
      </c>
      <c r="C138" s="51">
        <v>44481</v>
      </c>
      <c r="D138" s="58">
        <v>1.6060578717708975</v>
      </c>
      <c r="E138" s="60">
        <v>2101.9856189462262</v>
      </c>
      <c r="F138" s="61">
        <v>2.7683634542291515</v>
      </c>
      <c r="G138" s="59">
        <v>1.5475065558386727</v>
      </c>
      <c r="H138" s="25">
        <v>107.74333685952638</v>
      </c>
    </row>
    <row r="139" spans="1:8" hidden="1" x14ac:dyDescent="0.15">
      <c r="A139" t="s">
        <v>215</v>
      </c>
      <c r="B139" s="52" t="s">
        <v>331</v>
      </c>
      <c r="C139" s="53">
        <v>44481</v>
      </c>
      <c r="D139" s="58">
        <v>2.4834912495054833</v>
      </c>
      <c r="E139" s="60">
        <v>3335.8933018965395</v>
      </c>
      <c r="F139" s="61"/>
      <c r="G139" s="59">
        <v>2.4559239167636169</v>
      </c>
      <c r="H139" s="55"/>
    </row>
    <row r="140" spans="1:8" hidden="1" x14ac:dyDescent="0.15">
      <c r="A140" t="s">
        <v>310</v>
      </c>
      <c r="B140" t="s">
        <v>332</v>
      </c>
      <c r="C140" s="51">
        <v>44481</v>
      </c>
      <c r="D140" s="58">
        <v>1.3037600655811377</v>
      </c>
      <c r="E140" s="60">
        <v>1723.6201840283795</v>
      </c>
      <c r="F140" s="61">
        <v>4.0249884906756774</v>
      </c>
      <c r="G140" s="59">
        <v>1.2689494687870235</v>
      </c>
      <c r="H140" s="25">
        <v>156.65056195713288</v>
      </c>
    </row>
    <row r="141" spans="1:8" ht="14" x14ac:dyDescent="0.15">
      <c r="A141" s="43" t="s">
        <v>128</v>
      </c>
      <c r="B141" s="52" t="s">
        <v>329</v>
      </c>
      <c r="C141" s="53">
        <v>44494</v>
      </c>
      <c r="D141" s="58">
        <v>2.9165440226465367</v>
      </c>
      <c r="E141" s="60">
        <v>3428.1722701681661</v>
      </c>
      <c r="F141" s="61">
        <v>4.3306272674535187</v>
      </c>
      <c r="G141" s="59">
        <v>2.905663348395144</v>
      </c>
      <c r="H141" s="55">
        <v>151.43093461651216</v>
      </c>
    </row>
    <row r="142" spans="1:8" ht="15" hidden="1" x14ac:dyDescent="0.2">
      <c r="A142" s="29" t="s">
        <v>189</v>
      </c>
      <c r="B142" t="s">
        <v>330</v>
      </c>
      <c r="C142" s="51">
        <v>44494</v>
      </c>
      <c r="D142" s="58">
        <v>1.1883493648870964</v>
      </c>
      <c r="E142" s="60">
        <v>1357.6280865975932</v>
      </c>
      <c r="F142" s="61">
        <v>1.5565908604700789</v>
      </c>
      <c r="G142" s="59">
        <v>1.1507035997887425</v>
      </c>
      <c r="H142" s="25">
        <v>54.429992298808457</v>
      </c>
    </row>
    <row r="143" spans="1:8" hidden="1" x14ac:dyDescent="0.15">
      <c r="A143" s="25" t="s">
        <v>208</v>
      </c>
      <c r="B143" s="52" t="s">
        <v>331</v>
      </c>
      <c r="C143" s="53">
        <v>44494</v>
      </c>
      <c r="D143" s="58">
        <v>1.9327864209432342</v>
      </c>
      <c r="E143" s="60">
        <v>2256.3346845502651</v>
      </c>
      <c r="F143" s="61"/>
      <c r="G143" s="59">
        <v>1.9124327711479958</v>
      </c>
      <c r="H143" s="55"/>
    </row>
    <row r="144" spans="1:8" hidden="1" x14ac:dyDescent="0.15">
      <c r="A144" t="s">
        <v>307</v>
      </c>
      <c r="B144" t="s">
        <v>332</v>
      </c>
      <c r="C144" s="51">
        <v>44494</v>
      </c>
      <c r="D144" s="58">
        <v>1.1666876583387267</v>
      </c>
      <c r="E144" s="60">
        <v>1344.5885768568446</v>
      </c>
      <c r="F144" s="61">
        <v>1.7776296179986408</v>
      </c>
      <c r="G144" s="59">
        <v>1.1396515223116455</v>
      </c>
      <c r="H144" s="25">
        <v>62.159151049223134</v>
      </c>
    </row>
    <row r="145" spans="1:8" ht="14" x14ac:dyDescent="0.15">
      <c r="A145" s="43" t="s">
        <v>124</v>
      </c>
      <c r="B145" s="52" t="s">
        <v>329</v>
      </c>
      <c r="C145" s="53">
        <v>44510</v>
      </c>
      <c r="D145" s="58">
        <v>3.3955712242890699</v>
      </c>
      <c r="E145" s="60">
        <v>3926.279459805648</v>
      </c>
      <c r="F145" s="61">
        <v>22.076464536042721</v>
      </c>
      <c r="G145" s="59">
        <v>3.3830500670554735</v>
      </c>
      <c r="H145" s="55">
        <v>762.25797750881111</v>
      </c>
    </row>
    <row r="146" spans="1:8" ht="15" hidden="1" x14ac:dyDescent="0.2">
      <c r="A146" s="29" t="s">
        <v>149</v>
      </c>
      <c r="B146" t="s">
        <v>330</v>
      </c>
      <c r="C146" s="51">
        <v>44510</v>
      </c>
      <c r="D146" s="58">
        <v>1.6491934656894751</v>
      </c>
      <c r="E146" s="60">
        <v>1834.0817000412828</v>
      </c>
      <c r="F146" s="61">
        <v>1.4491189149162258</v>
      </c>
      <c r="G146" s="59">
        <v>1.580323123157672</v>
      </c>
      <c r="H146" s="25">
        <v>50.035296704796053</v>
      </c>
    </row>
    <row r="147" spans="1:8" hidden="1" x14ac:dyDescent="0.15">
      <c r="A147" s="25" t="s">
        <v>207</v>
      </c>
      <c r="B147" s="52" t="s">
        <v>331</v>
      </c>
      <c r="C147" s="53">
        <v>44510</v>
      </c>
      <c r="D147" s="58">
        <v>2.4583609545750957</v>
      </c>
      <c r="E147" s="60">
        <v>2813.2777540181146</v>
      </c>
      <c r="F147" s="61"/>
      <c r="G147" s="59">
        <v>2.4240402630045526</v>
      </c>
      <c r="H147" s="55"/>
    </row>
    <row r="148" spans="1:8" hidden="1" x14ac:dyDescent="0.15">
      <c r="A148" t="s">
        <v>315</v>
      </c>
      <c r="B148" t="s">
        <v>332</v>
      </c>
      <c r="C148" s="51">
        <v>44510</v>
      </c>
      <c r="D148" s="58">
        <v>1.4322718760132602</v>
      </c>
      <c r="E148" s="60">
        <v>1597.2850299276336</v>
      </c>
      <c r="F148" s="61">
        <v>2.8342750801557144</v>
      </c>
      <c r="G148" s="59">
        <v>1.376288999018646</v>
      </c>
      <c r="H148" s="25">
        <v>97.862082344566659</v>
      </c>
    </row>
    <row r="149" spans="1:8" ht="14" x14ac:dyDescent="0.15">
      <c r="A149" s="43" t="s">
        <v>106</v>
      </c>
      <c r="B149" s="52" t="s">
        <v>329</v>
      </c>
      <c r="C149" s="53">
        <v>44524</v>
      </c>
      <c r="D149" s="58">
        <v>10.824452686478519</v>
      </c>
      <c r="E149" s="60">
        <v>12508.36673738426</v>
      </c>
      <c r="F149" s="61">
        <v>33.995503962929973</v>
      </c>
      <c r="G149" s="59">
        <v>10.777742991263528</v>
      </c>
      <c r="H149" s="55">
        <v>1173.7995480602815</v>
      </c>
    </row>
    <row r="150" spans="1:8" ht="14" x14ac:dyDescent="0.15">
      <c r="A150" s="43" t="s">
        <v>126</v>
      </c>
      <c r="B150" s="52" t="s">
        <v>329</v>
      </c>
      <c r="C150" s="53">
        <v>44545</v>
      </c>
      <c r="D150" s="58">
        <v>19.252560611952859</v>
      </c>
      <c r="E150" s="60">
        <v>22236.116411726991</v>
      </c>
      <c r="F150" s="61">
        <v>201.64659604966499</v>
      </c>
      <c r="G150" s="59">
        <v>19.15958756574857</v>
      </c>
      <c r="H150" s="55">
        <v>6962.4702010327555</v>
      </c>
    </row>
    <row r="151" spans="1:8" ht="15" hidden="1" x14ac:dyDescent="0.2">
      <c r="A151" s="29" t="s">
        <v>184</v>
      </c>
      <c r="B151" t="s">
        <v>330</v>
      </c>
      <c r="C151" s="51">
        <v>44545</v>
      </c>
      <c r="D151" s="58">
        <v>1.7834821208483871</v>
      </c>
      <c r="E151" s="60">
        <v>1917.8991230070706</v>
      </c>
      <c r="F151" s="61"/>
      <c r="G151" s="59">
        <v>1.6525437944796415</v>
      </c>
    </row>
    <row r="152" spans="1:8" hidden="1" x14ac:dyDescent="0.15">
      <c r="A152" t="s">
        <v>232</v>
      </c>
      <c r="B152" s="52" t="s">
        <v>331</v>
      </c>
      <c r="C152" s="53">
        <v>44545</v>
      </c>
      <c r="D152" s="58">
        <v>1.9372727109222754</v>
      </c>
      <c r="E152" s="60">
        <v>2193.2686557345623</v>
      </c>
      <c r="F152" s="61"/>
      <c r="G152" s="59">
        <v>1.8898139444258431</v>
      </c>
      <c r="H152" s="55"/>
    </row>
    <row r="153" spans="1:8" hidden="1" x14ac:dyDescent="0.15">
      <c r="A153" t="s">
        <v>285</v>
      </c>
      <c r="B153" t="s">
        <v>332</v>
      </c>
      <c r="C153" s="51">
        <v>44545</v>
      </c>
      <c r="D153" s="58">
        <v>1.6520938134503651</v>
      </c>
      <c r="E153" s="60">
        <v>1764.1258205016882</v>
      </c>
      <c r="F153" s="61">
        <v>1.4016889165268256</v>
      </c>
      <c r="G153" s="59">
        <v>1.5200461496538387</v>
      </c>
      <c r="H153" s="25">
        <v>48.397629831709352</v>
      </c>
    </row>
    <row r="154" spans="1:8" hidden="1" x14ac:dyDescent="0.15">
      <c r="A154" t="s">
        <v>237</v>
      </c>
      <c r="B154" s="52" t="s">
        <v>331</v>
      </c>
      <c r="C154" s="53">
        <v>44573</v>
      </c>
      <c r="D154" s="58">
        <v>1.8522350762031699</v>
      </c>
      <c r="E154" s="60">
        <v>2130.1203265448103</v>
      </c>
      <c r="F154" s="61"/>
      <c r="G154" s="59">
        <v>1.8354026470419305</v>
      </c>
      <c r="H154" s="55"/>
    </row>
    <row r="155" spans="1:8" hidden="1" x14ac:dyDescent="0.15">
      <c r="A155" t="s">
        <v>302</v>
      </c>
      <c r="B155" t="s">
        <v>332</v>
      </c>
      <c r="C155" s="51">
        <v>44573</v>
      </c>
      <c r="D155" s="58">
        <v>1.5120286336352409</v>
      </c>
      <c r="E155" s="60">
        <v>1694.7608789755507</v>
      </c>
      <c r="F155" s="61"/>
      <c r="G155" s="59">
        <v>1.4602783535803225</v>
      </c>
    </row>
    <row r="156" spans="1:8" ht="14" x14ac:dyDescent="0.15">
      <c r="A156" s="43" t="s">
        <v>98</v>
      </c>
      <c r="B156" s="52" t="s">
        <v>329</v>
      </c>
      <c r="C156" s="53">
        <v>44601</v>
      </c>
      <c r="D156" s="58">
        <v>16.248007692272029</v>
      </c>
      <c r="E156" s="60">
        <v>18752.76353107157</v>
      </c>
      <c r="F156" s="61">
        <v>414.19719740983254</v>
      </c>
      <c r="G156" s="59">
        <v>16.158181955903743</v>
      </c>
      <c r="H156" s="55">
        <v>14301.434791425689</v>
      </c>
    </row>
    <row r="157" spans="1:8" hidden="1" x14ac:dyDescent="0.15">
      <c r="A157" s="25" t="s">
        <v>206</v>
      </c>
      <c r="B157" s="52" t="s">
        <v>331</v>
      </c>
      <c r="C157" s="53">
        <v>44601</v>
      </c>
      <c r="D157" s="58">
        <v>1.9089361499644923</v>
      </c>
      <c r="E157" s="60">
        <v>2151.9977478514493</v>
      </c>
      <c r="F157" s="61"/>
      <c r="G157" s="59">
        <v>1.8542531675858986</v>
      </c>
      <c r="H157" s="55"/>
    </row>
    <row r="158" spans="1:8" hidden="1" x14ac:dyDescent="0.15">
      <c r="A158" t="s">
        <v>270</v>
      </c>
      <c r="B158" t="s">
        <v>332</v>
      </c>
      <c r="C158" s="51">
        <v>44601</v>
      </c>
      <c r="D158" s="58">
        <v>1.4574275996428574</v>
      </c>
      <c r="E158" s="60">
        <v>1517.6893293505402</v>
      </c>
      <c r="F158" s="61"/>
      <c r="G158" s="59">
        <v>1.3077059440091097</v>
      </c>
    </row>
    <row r="159" spans="1:8" hidden="1" x14ac:dyDescent="0.15">
      <c r="A159" t="s">
        <v>313</v>
      </c>
      <c r="B159" t="s">
        <v>332</v>
      </c>
      <c r="C159" s="51">
        <v>44628</v>
      </c>
      <c r="D159" s="58">
        <v>1.8417348773584807</v>
      </c>
      <c r="E159" s="60">
        <v>1903.9085994347558</v>
      </c>
      <c r="F159" s="61"/>
      <c r="G159" s="59">
        <v>1.6404889618590919</v>
      </c>
    </row>
    <row r="160" spans="1:8" ht="15" hidden="1" x14ac:dyDescent="0.2">
      <c r="A160" s="29" t="s">
        <v>177</v>
      </c>
      <c r="B160" t="s">
        <v>330</v>
      </c>
      <c r="C160" s="51">
        <v>44656</v>
      </c>
      <c r="D160" s="58">
        <v>2.1882414392332241</v>
      </c>
      <c r="E160" s="60">
        <v>2309.3109215964378</v>
      </c>
      <c r="F160" s="61"/>
      <c r="G160" s="59">
        <v>1.9898009166534183</v>
      </c>
    </row>
    <row r="161" spans="1:8" hidden="1" x14ac:dyDescent="0.15">
      <c r="A161" t="s">
        <v>228</v>
      </c>
      <c r="B161" s="52" t="s">
        <v>331</v>
      </c>
      <c r="C161" s="53">
        <v>44656</v>
      </c>
      <c r="D161" s="58">
        <v>2.3814450979755053</v>
      </c>
      <c r="E161" s="60">
        <v>2664.9598658998102</v>
      </c>
      <c r="F161" s="61"/>
      <c r="G161" s="59">
        <v>2.2962432362058043</v>
      </c>
      <c r="H161" s="55"/>
    </row>
    <row r="162" spans="1:8" hidden="1" x14ac:dyDescent="0.15">
      <c r="A162" t="s">
        <v>293</v>
      </c>
      <c r="B162" t="s">
        <v>332</v>
      </c>
      <c r="C162" s="51">
        <v>44656</v>
      </c>
      <c r="D162" s="58">
        <v>1.680031815150268</v>
      </c>
      <c r="E162" s="60">
        <v>1765.4444186254025</v>
      </c>
      <c r="F162" s="61">
        <v>1.9292596081432554</v>
      </c>
      <c r="G162" s="59">
        <v>1.5211823101122364</v>
      </c>
      <c r="H162" s="25">
        <v>66.613633926382676</v>
      </c>
    </row>
    <row r="163" spans="1:8" hidden="1" x14ac:dyDescent="0.15">
      <c r="A163" t="s">
        <v>240</v>
      </c>
      <c r="B163" s="52" t="s">
        <v>331</v>
      </c>
      <c r="C163" s="53">
        <v>44672</v>
      </c>
      <c r="D163" s="58">
        <v>3.5112664936640599</v>
      </c>
      <c r="E163" s="60">
        <v>4012.8195076945549</v>
      </c>
      <c r="F163" s="61"/>
      <c r="G163" s="59">
        <v>3.4576166682897225</v>
      </c>
      <c r="H163" s="55"/>
    </row>
    <row r="164" spans="1:8" hidden="1" x14ac:dyDescent="0.15">
      <c r="A164" t="s">
        <v>297</v>
      </c>
      <c r="B164" t="s">
        <v>332</v>
      </c>
      <c r="C164" s="51">
        <v>44672</v>
      </c>
      <c r="D164" s="58">
        <v>3.2886622781566488</v>
      </c>
      <c r="E164" s="60">
        <v>3731.2503255167808</v>
      </c>
      <c r="F164" s="61">
        <v>1.7384537128323838</v>
      </c>
      <c r="G164" s="59">
        <v>3.2150046356010389</v>
      </c>
      <c r="H164" s="25">
        <v>60.025472329267899</v>
      </c>
    </row>
    <row r="165" spans="1:8" ht="15" hidden="1" x14ac:dyDescent="0.2">
      <c r="A165" s="29" t="s">
        <v>188</v>
      </c>
      <c r="B165" t="s">
        <v>330</v>
      </c>
      <c r="C165" s="51">
        <v>44677</v>
      </c>
      <c r="D165" s="58">
        <v>1.4448273610292302</v>
      </c>
      <c r="E165" s="60">
        <v>1618.1511781327176</v>
      </c>
      <c r="F165" s="61"/>
      <c r="G165" s="59">
        <v>1.3942681634686194</v>
      </c>
    </row>
    <row r="166" spans="1:8" hidden="1" x14ac:dyDescent="0.15">
      <c r="A166" t="s">
        <v>226</v>
      </c>
      <c r="B166" s="52" t="s">
        <v>331</v>
      </c>
      <c r="C166" s="53">
        <v>44677</v>
      </c>
      <c r="D166" s="58">
        <v>2.219742035767291</v>
      </c>
      <c r="E166" s="60">
        <v>2536.8123323164741</v>
      </c>
      <c r="F166" s="61"/>
      <c r="G166" s="59">
        <v>2.1858258483147348</v>
      </c>
      <c r="H166" s="55"/>
    </row>
    <row r="167" spans="1:8" ht="15" hidden="1" x14ac:dyDescent="0.2">
      <c r="A167" s="29" t="s">
        <v>159</v>
      </c>
      <c r="B167" t="s">
        <v>330</v>
      </c>
      <c r="C167" s="51">
        <v>44680</v>
      </c>
      <c r="D167" s="58">
        <v>1.6632314969987647</v>
      </c>
      <c r="E167" s="60">
        <v>1838.3415596751818</v>
      </c>
      <c r="F167" s="61"/>
      <c r="G167" s="59">
        <v>1.5839936001493482</v>
      </c>
    </row>
    <row r="168" spans="1:8" hidden="1" x14ac:dyDescent="0.15">
      <c r="A168" t="s">
        <v>214</v>
      </c>
      <c r="B168" s="52" t="s">
        <v>331</v>
      </c>
      <c r="C168" s="53">
        <v>44680</v>
      </c>
      <c r="D168" s="58">
        <v>2.8224534494524498</v>
      </c>
      <c r="E168" s="60">
        <v>3217.0647775184666</v>
      </c>
      <c r="F168" s="61"/>
      <c r="G168" s="59">
        <v>2.7719604074857136</v>
      </c>
      <c r="H168" s="55"/>
    </row>
    <row r="169" spans="1:8" hidden="1" x14ac:dyDescent="0.15">
      <c r="A169" t="s">
        <v>317</v>
      </c>
      <c r="B169" t="s">
        <v>332</v>
      </c>
      <c r="C169" s="51">
        <v>44680</v>
      </c>
      <c r="D169" s="58">
        <v>1.4763279575632977</v>
      </c>
      <c r="E169" s="60">
        <v>1638.6177410994203</v>
      </c>
      <c r="F169" s="61"/>
      <c r="G169" s="59">
        <v>1.4119030282116212</v>
      </c>
    </row>
    <row r="170" spans="1:8" ht="14" x14ac:dyDescent="0.15">
      <c r="A170" s="43" t="s">
        <v>103</v>
      </c>
      <c r="B170" s="52" t="s">
        <v>329</v>
      </c>
      <c r="C170" s="53">
        <v>44687</v>
      </c>
      <c r="D170" s="58">
        <v>3.9333744872205645</v>
      </c>
      <c r="E170" s="60">
        <v>4534.7397262111308</v>
      </c>
      <c r="F170" s="61">
        <v>3.4345061155956853</v>
      </c>
      <c r="G170" s="59">
        <v>3.90732541885775</v>
      </c>
      <c r="H170" s="55">
        <v>118.58690874806585</v>
      </c>
    </row>
    <row r="171" spans="1:8" ht="15" hidden="1" x14ac:dyDescent="0.2">
      <c r="A171" s="29" t="s">
        <v>171</v>
      </c>
      <c r="B171" t="s">
        <v>330</v>
      </c>
      <c r="C171" s="51">
        <v>44687</v>
      </c>
      <c r="D171" s="58">
        <v>1.2159230262150065</v>
      </c>
      <c r="E171" s="60">
        <v>1331.1334853755216</v>
      </c>
      <c r="F171" s="61"/>
      <c r="G171" s="59">
        <v>1.1469614613684067</v>
      </c>
    </row>
    <row r="172" spans="1:8" hidden="1" x14ac:dyDescent="0.15">
      <c r="A172" t="s">
        <v>231</v>
      </c>
      <c r="B172" s="52" t="s">
        <v>331</v>
      </c>
      <c r="C172" s="53">
        <v>44687</v>
      </c>
      <c r="D172" s="58">
        <v>1.9257364681159945</v>
      </c>
      <c r="E172" s="60">
        <v>2189.2006682890401</v>
      </c>
      <c r="F172" s="61"/>
      <c r="G172" s="59">
        <v>1.8863087927061952</v>
      </c>
      <c r="H172" s="55"/>
    </row>
    <row r="173" spans="1:8" hidden="1" x14ac:dyDescent="0.15">
      <c r="A173" t="s">
        <v>277</v>
      </c>
      <c r="B173" t="s">
        <v>332</v>
      </c>
      <c r="C173" s="51">
        <v>44687</v>
      </c>
      <c r="D173" s="58">
        <v>1.1823223899120012</v>
      </c>
      <c r="E173" s="60">
        <v>1302.3707482664611</v>
      </c>
      <c r="F173" s="61"/>
      <c r="G173" s="59">
        <v>1.1221782586693501</v>
      </c>
    </row>
    <row r="174" spans="1:8" ht="14" x14ac:dyDescent="0.15">
      <c r="A174" s="43" t="s">
        <v>96</v>
      </c>
      <c r="B174" s="52" t="s">
        <v>329</v>
      </c>
      <c r="C174" s="53">
        <v>44697</v>
      </c>
      <c r="D174" s="58">
        <v>3.3684637893762863</v>
      </c>
      <c r="E174" s="60">
        <v>4937.3948316472815</v>
      </c>
      <c r="F174" s="61">
        <v>8.5438639789201307</v>
      </c>
      <c r="G174" s="59">
        <v>3.3470044366375142</v>
      </c>
      <c r="H174" s="55">
        <v>353.67568525426941</v>
      </c>
    </row>
    <row r="175" spans="1:8" ht="15" hidden="1" x14ac:dyDescent="0.2">
      <c r="A175" s="29" t="s">
        <v>160</v>
      </c>
      <c r="B175" t="s">
        <v>330</v>
      </c>
      <c r="C175" s="51">
        <v>44697</v>
      </c>
      <c r="D175" s="58">
        <v>1.0836205207719225</v>
      </c>
      <c r="E175" s="60">
        <v>1496.8953664063818</v>
      </c>
      <c r="F175" s="61"/>
      <c r="G175" s="59">
        <v>1.0147285366831302</v>
      </c>
    </row>
    <row r="176" spans="1:8" hidden="1" x14ac:dyDescent="0.15">
      <c r="A176" t="s">
        <v>245</v>
      </c>
      <c r="B176" s="52" t="s">
        <v>331</v>
      </c>
      <c r="C176" s="53">
        <v>44697</v>
      </c>
      <c r="D176" s="58">
        <v>1.7787336842903458</v>
      </c>
      <c r="E176" s="60">
        <v>2569.8664686720217</v>
      </c>
      <c r="F176" s="61"/>
      <c r="G176" s="59">
        <v>1.7420835816246716</v>
      </c>
      <c r="H176" s="55"/>
    </row>
    <row r="177" spans="1:8" hidden="1" x14ac:dyDescent="0.15">
      <c r="A177" t="s">
        <v>318</v>
      </c>
      <c r="B177" t="s">
        <v>332</v>
      </c>
      <c r="C177" s="51">
        <v>44697</v>
      </c>
      <c r="D177" s="58">
        <v>0.92611753810158493</v>
      </c>
      <c r="E177" s="60">
        <v>1297.7618104392457</v>
      </c>
      <c r="F177" s="61">
        <v>1.9928615732468784</v>
      </c>
      <c r="G177" s="59">
        <v>0.87973813829867675</v>
      </c>
      <c r="H177" s="25">
        <v>82.495072987348181</v>
      </c>
    </row>
    <row r="178" spans="1:8" ht="14" x14ac:dyDescent="0.15">
      <c r="A178" s="43" t="s">
        <v>116</v>
      </c>
      <c r="B178" s="52" t="s">
        <v>329</v>
      </c>
      <c r="C178" s="53">
        <v>44704</v>
      </c>
      <c r="D178" s="58">
        <v>4.9077929400077185</v>
      </c>
      <c r="E178" s="60">
        <v>6486.591246105384</v>
      </c>
      <c r="F178" s="61">
        <v>32.182594342433646</v>
      </c>
      <c r="G178" s="59">
        <v>4.8817475742083056</v>
      </c>
      <c r="H178" s="55">
        <v>1231.9365592995516</v>
      </c>
    </row>
    <row r="179" spans="1:8" ht="15" hidden="1" x14ac:dyDescent="0.2">
      <c r="A179" s="29" t="s">
        <v>167</v>
      </c>
      <c r="B179" t="s">
        <v>330</v>
      </c>
      <c r="C179" s="51">
        <v>44704</v>
      </c>
      <c r="D179" s="58">
        <v>1.0626201230825445</v>
      </c>
      <c r="E179" s="60">
        <v>1318.4319524399468</v>
      </c>
      <c r="F179" s="61"/>
      <c r="G179" s="59">
        <v>0.99223948933838291</v>
      </c>
    </row>
    <row r="180" spans="1:8" hidden="1" x14ac:dyDescent="0.15">
      <c r="A180" t="s">
        <v>250</v>
      </c>
      <c r="B180" s="52" t="s">
        <v>331</v>
      </c>
      <c r="C180" s="53">
        <v>44704</v>
      </c>
      <c r="D180" s="58">
        <v>2.0013378997977567</v>
      </c>
      <c r="E180" s="60">
        <v>2602.078588816933</v>
      </c>
      <c r="F180" s="61"/>
      <c r="G180" s="59">
        <v>1.9582998769165947</v>
      </c>
      <c r="H180" s="55"/>
    </row>
    <row r="181" spans="1:8" hidden="1" x14ac:dyDescent="0.15">
      <c r="A181" t="s">
        <v>273</v>
      </c>
      <c r="B181" t="s">
        <v>332</v>
      </c>
      <c r="C181" s="51">
        <v>44704</v>
      </c>
      <c r="D181" s="58">
        <v>0.82111554965469336</v>
      </c>
      <c r="E181" s="60">
        <v>1028.9212163233162</v>
      </c>
      <c r="F181" s="61">
        <v>2.4380753289722454</v>
      </c>
      <c r="G181" s="59">
        <v>0.77435643179360647</v>
      </c>
      <c r="H181" s="25">
        <v>93.328527219663002</v>
      </c>
    </row>
    <row r="182" spans="1:8" ht="14" x14ac:dyDescent="0.15">
      <c r="A182" s="43" t="s">
        <v>115</v>
      </c>
      <c r="B182" s="52" t="s">
        <v>329</v>
      </c>
      <c r="C182" s="53">
        <v>44733</v>
      </c>
      <c r="D182" s="58">
        <v>3.173160090865069</v>
      </c>
      <c r="E182" s="60">
        <v>5105.8311662874594</v>
      </c>
      <c r="F182" s="61">
        <v>15.667284070525994</v>
      </c>
      <c r="G182" s="59">
        <v>3.1575259586776694</v>
      </c>
      <c r="H182" s="55">
        <v>693.90931290465824</v>
      </c>
    </row>
    <row r="183" spans="1:8" ht="15" hidden="1" x14ac:dyDescent="0.2">
      <c r="A183" s="29" t="s">
        <v>151</v>
      </c>
      <c r="B183" t="s">
        <v>330</v>
      </c>
      <c r="C183" s="51">
        <v>44733</v>
      </c>
      <c r="D183" s="58">
        <v>1.6926320537638946</v>
      </c>
      <c r="E183" s="60">
        <v>2588.7640742210397</v>
      </c>
      <c r="F183" s="61">
        <v>2.1200655034541263</v>
      </c>
      <c r="G183" s="59">
        <v>1.6009322476654908</v>
      </c>
      <c r="H183" s="25">
        <v>93.898418525664169</v>
      </c>
    </row>
    <row r="184" spans="1:8" hidden="1" x14ac:dyDescent="0.15">
      <c r="A184" t="s">
        <v>219</v>
      </c>
      <c r="B184" s="52" t="s">
        <v>331</v>
      </c>
      <c r="C184" s="53">
        <v>44733</v>
      </c>
      <c r="D184" s="58">
        <v>1.9698373032636889</v>
      </c>
      <c r="E184" s="60">
        <v>3142.895175998583</v>
      </c>
      <c r="F184" s="61"/>
      <c r="G184" s="59">
        <v>1.9436155995800579</v>
      </c>
      <c r="H184" s="55"/>
    </row>
    <row r="185" spans="1:8" hidden="1" x14ac:dyDescent="0.15">
      <c r="A185" t="s">
        <v>274</v>
      </c>
      <c r="B185" t="s">
        <v>332</v>
      </c>
      <c r="C185" s="51">
        <v>44733</v>
      </c>
      <c r="D185" s="58">
        <v>1.2789242192831416</v>
      </c>
      <c r="E185" s="60">
        <v>1999.0059797962372</v>
      </c>
      <c r="F185" s="61">
        <v>7.0598181265022406</v>
      </c>
      <c r="G185" s="59">
        <v>1.2362166055224288</v>
      </c>
      <c r="H185" s="25">
        <v>312.68173369046167</v>
      </c>
    </row>
    <row r="186" spans="1:8" ht="15" hidden="1" x14ac:dyDescent="0.2">
      <c r="A186" s="29" t="s">
        <v>191</v>
      </c>
      <c r="B186" t="s">
        <v>330</v>
      </c>
      <c r="C186" s="51">
        <v>44747</v>
      </c>
      <c r="D186" s="58">
        <v>1.9614371441879399</v>
      </c>
      <c r="E186" s="60">
        <v>3335.127044447016</v>
      </c>
      <c r="F186" s="61">
        <v>13.822827082520904</v>
      </c>
      <c r="G186" s="59">
        <v>1.7360532962443427</v>
      </c>
      <c r="H186" s="25">
        <v>692.79202768510993</v>
      </c>
    </row>
    <row r="187" spans="1:8" hidden="1" x14ac:dyDescent="0.15">
      <c r="A187" t="s">
        <v>264</v>
      </c>
      <c r="B187" t="s">
        <v>332</v>
      </c>
      <c r="C187" s="51">
        <v>44747</v>
      </c>
      <c r="D187" s="58">
        <v>1.3440254521202144</v>
      </c>
      <c r="E187" s="60">
        <v>2386.446927880093</v>
      </c>
      <c r="F187" s="61">
        <v>14.289241493280814</v>
      </c>
      <c r="G187" s="59">
        <v>1.2422312554349351</v>
      </c>
      <c r="H187" s="25">
        <v>716.16844579718429</v>
      </c>
    </row>
    <row r="188" spans="1:8" ht="15" hidden="1" x14ac:dyDescent="0.2">
      <c r="A188" s="29" t="s">
        <v>156</v>
      </c>
      <c r="B188" t="s">
        <v>330</v>
      </c>
      <c r="C188" s="51">
        <v>44762</v>
      </c>
      <c r="D188" s="58">
        <v>1.4259270031087898</v>
      </c>
      <c r="E188" s="60">
        <v>2286.0077826035381</v>
      </c>
      <c r="F188" s="61">
        <v>13.610820532175488</v>
      </c>
      <c r="G188" s="59">
        <v>1.3285990757999431</v>
      </c>
      <c r="H188" s="25">
        <v>630.61228404034443</v>
      </c>
    </row>
    <row r="189" spans="1:8" hidden="1" x14ac:dyDescent="0.15">
      <c r="A189" t="s">
        <v>283</v>
      </c>
      <c r="B189" t="s">
        <v>332</v>
      </c>
      <c r="C189" s="51">
        <v>44762</v>
      </c>
      <c r="D189" s="58">
        <v>1.2726240999763279</v>
      </c>
      <c r="E189" s="60">
        <v>2095.0000409778536</v>
      </c>
      <c r="F189" s="61">
        <v>5.7453775143606816</v>
      </c>
      <c r="G189" s="59">
        <v>1.2175877700092441</v>
      </c>
      <c r="H189" s="25">
        <v>266.19303578650056</v>
      </c>
    </row>
    <row r="190" spans="1:8" hidden="1" x14ac:dyDescent="0.15">
      <c r="A190" t="s">
        <v>249</v>
      </c>
      <c r="B190" s="52" t="s">
        <v>331</v>
      </c>
      <c r="C190" s="53">
        <v>44777</v>
      </c>
      <c r="D190" s="58">
        <v>2.4822470068845215</v>
      </c>
      <c r="E190" s="60">
        <v>4062.7359802273218</v>
      </c>
      <c r="F190" s="61">
        <v>2.0776641933850439</v>
      </c>
      <c r="G190" s="59">
        <v>2.4350011025159688</v>
      </c>
      <c r="H190" s="55">
        <v>94.142115097565309</v>
      </c>
    </row>
    <row r="191" spans="1:8" hidden="1" x14ac:dyDescent="0.15">
      <c r="A191" t="s">
        <v>304</v>
      </c>
      <c r="B191" t="s">
        <v>332</v>
      </c>
      <c r="C191" s="51">
        <v>44777</v>
      </c>
      <c r="D191" s="58">
        <v>1.3923263668057844</v>
      </c>
      <c r="E191" s="60">
        <v>2156.9808691259077</v>
      </c>
      <c r="F191" s="61">
        <v>10.87593603271967</v>
      </c>
      <c r="G191" s="59">
        <v>1.2927866393458232</v>
      </c>
      <c r="H191" s="25">
        <v>492.80515352092868</v>
      </c>
    </row>
    <row r="192" spans="1:8" ht="15" hidden="1" x14ac:dyDescent="0.2">
      <c r="A192" s="29" t="s">
        <v>195</v>
      </c>
      <c r="B192" t="s">
        <v>330</v>
      </c>
      <c r="C192" s="51">
        <v>44805</v>
      </c>
      <c r="D192" s="58">
        <v>1.4406272814913545</v>
      </c>
      <c r="E192" s="60">
        <v>1865.3429295980854</v>
      </c>
      <c r="F192" s="61">
        <v>28.4724797113889</v>
      </c>
      <c r="G192" s="59">
        <v>1.2226175176947007</v>
      </c>
      <c r="H192" s="25">
        <v>1208.3697036101405</v>
      </c>
    </row>
    <row r="193" spans="1:8" hidden="1" x14ac:dyDescent="0.15">
      <c r="A193" t="s">
        <v>280</v>
      </c>
      <c r="B193" t="s">
        <v>332</v>
      </c>
      <c r="C193" s="51">
        <v>44805</v>
      </c>
      <c r="D193" s="58">
        <v>1.7934339626729106</v>
      </c>
      <c r="E193" s="60">
        <v>2476.1582128419218</v>
      </c>
      <c r="F193" s="61">
        <v>15.752086690664159</v>
      </c>
      <c r="G193" s="59">
        <v>1.6229693530167302</v>
      </c>
      <c r="H193" s="25">
        <v>668.51726714991401</v>
      </c>
    </row>
    <row r="194" spans="1:8" ht="15" hidden="1" x14ac:dyDescent="0.2">
      <c r="A194" s="29" t="s">
        <v>152</v>
      </c>
      <c r="B194" t="s">
        <v>330</v>
      </c>
      <c r="C194" s="51">
        <v>44816</v>
      </c>
      <c r="D194" s="58">
        <v>1.4994283950216141</v>
      </c>
      <c r="E194" s="60">
        <v>1883.6665004183496</v>
      </c>
      <c r="F194" s="61">
        <v>18.465770535085447</v>
      </c>
      <c r="G194" s="59">
        <v>1.2231856511071275</v>
      </c>
      <c r="H194" s="25">
        <v>789.08360332962411</v>
      </c>
    </row>
    <row r="195" spans="1:8" hidden="1" x14ac:dyDescent="0.15">
      <c r="A195" t="s">
        <v>294</v>
      </c>
      <c r="B195" t="s">
        <v>332</v>
      </c>
      <c r="C195" s="51">
        <v>44816</v>
      </c>
      <c r="D195" s="58">
        <v>2.1147400473203999</v>
      </c>
      <c r="E195" s="60">
        <v>2889.5599690092258</v>
      </c>
      <c r="F195" s="61">
        <v>10.197515071614346</v>
      </c>
      <c r="G195" s="59">
        <v>1.8763768911963234</v>
      </c>
      <c r="H195" s="25">
        <v>435.76258691337421</v>
      </c>
    </row>
    <row r="196" spans="1:8" ht="15" x14ac:dyDescent="0.2">
      <c r="A196" s="29" t="s">
        <v>133</v>
      </c>
      <c r="B196" s="52" t="s">
        <v>329</v>
      </c>
      <c r="C196" s="53">
        <v>45049</v>
      </c>
      <c r="D196" s="58">
        <v>2.6754506656268013</v>
      </c>
      <c r="E196" s="60">
        <v>3084.0248146091949</v>
      </c>
      <c r="F196" s="61">
        <v>1.5052465074524299</v>
      </c>
      <c r="G196" s="59">
        <v>2.6573274935403703</v>
      </c>
      <c r="H196" s="55">
        <v>51.973274821683177</v>
      </c>
    </row>
    <row r="197" spans="1:8" hidden="1" x14ac:dyDescent="0.15">
      <c r="A197" t="s">
        <v>199</v>
      </c>
      <c r="B197" t="s">
        <v>330</v>
      </c>
      <c r="C197" s="51">
        <v>45049</v>
      </c>
      <c r="D197" s="58">
        <v>1.1886225092188145</v>
      </c>
      <c r="E197" s="60">
        <v>1330.1298801581061</v>
      </c>
      <c r="F197" s="61"/>
      <c r="G197" s="59">
        <v>1.1460967122508687</v>
      </c>
    </row>
    <row r="198" spans="1:8" hidden="1" x14ac:dyDescent="0.15">
      <c r="A198" t="s">
        <v>202</v>
      </c>
      <c r="B198" s="52" t="s">
        <v>331</v>
      </c>
      <c r="C198" s="53">
        <v>45049</v>
      </c>
      <c r="D198" s="58">
        <v>1.8837356727372376</v>
      </c>
      <c r="E198" s="60">
        <v>2158.3287663272354</v>
      </c>
      <c r="F198" s="61"/>
      <c r="G198" s="59">
        <v>1.8597082434912948</v>
      </c>
      <c r="H198" s="55"/>
    </row>
    <row r="199" spans="1:8" hidden="1" x14ac:dyDescent="0.15">
      <c r="A199" t="s">
        <v>282</v>
      </c>
      <c r="B199" t="s">
        <v>332</v>
      </c>
      <c r="C199" s="51">
        <v>45049</v>
      </c>
      <c r="D199" s="58">
        <v>1.0710202821582957</v>
      </c>
      <c r="E199" s="60">
        <v>1208.9457398598092</v>
      </c>
      <c r="F199" s="61"/>
      <c r="G199" s="59">
        <v>1.0416792814084632</v>
      </c>
    </row>
    <row r="200" spans="1:8" hidden="1" x14ac:dyDescent="0.15">
      <c r="A200" t="s">
        <v>284</v>
      </c>
      <c r="B200" t="s">
        <v>332</v>
      </c>
      <c r="C200" s="51">
        <v>45126</v>
      </c>
      <c r="D200" s="58">
        <v>2.9673561935091604</v>
      </c>
      <c r="E200" s="60">
        <v>4374.8362365888943</v>
      </c>
      <c r="F200" s="61">
        <v>6.3813971653969208</v>
      </c>
      <c r="G200" s="59">
        <v>2.5317121246011332</v>
      </c>
      <c r="H200" s="25">
        <v>296.57711976070829</v>
      </c>
    </row>
    <row r="201" spans="1:8" ht="14" x14ac:dyDescent="0.15">
      <c r="A201" s="43" t="s">
        <v>117</v>
      </c>
      <c r="B201" s="52" t="s">
        <v>329</v>
      </c>
      <c r="C201" s="53">
        <v>45168</v>
      </c>
      <c r="D201" s="58">
        <v>3.7422708682472221</v>
      </c>
      <c r="E201" s="60">
        <v>5934.257247770608</v>
      </c>
      <c r="F201" s="61">
        <v>9.307087560163616</v>
      </c>
      <c r="G201" s="59">
        <v>3.7270185067493125</v>
      </c>
      <c r="H201" s="55">
        <v>407.58052859283941</v>
      </c>
    </row>
    <row r="202" spans="1:8" ht="15" hidden="1" x14ac:dyDescent="0.2">
      <c r="A202" s="29" t="s">
        <v>164</v>
      </c>
      <c r="B202" t="s">
        <v>330</v>
      </c>
      <c r="C202" s="51">
        <v>45168</v>
      </c>
      <c r="D202" s="58">
        <v>1.8648353148167971</v>
      </c>
      <c r="E202" s="60">
        <v>2713.9475693067548</v>
      </c>
      <c r="F202" s="61">
        <v>4.0069238015282984</v>
      </c>
      <c r="G202" s="59">
        <v>1.704498540395023</v>
      </c>
      <c r="H202" s="25">
        <v>175.47316606844336</v>
      </c>
    </row>
    <row r="203" spans="1:8" hidden="1" x14ac:dyDescent="0.15">
      <c r="A203" t="s">
        <v>217</v>
      </c>
      <c r="B203" s="52" t="s">
        <v>331</v>
      </c>
      <c r="C203" s="53">
        <v>45168</v>
      </c>
      <c r="D203" s="58">
        <v>2.8476539266797034</v>
      </c>
      <c r="E203" s="60">
        <v>4470.1501960453188</v>
      </c>
      <c r="F203" s="61"/>
      <c r="G203" s="59">
        <v>2.8074840393663343</v>
      </c>
      <c r="H203" s="55"/>
    </row>
    <row r="204" spans="1:8" hidden="1" x14ac:dyDescent="0.15">
      <c r="A204" t="s">
        <v>291</v>
      </c>
      <c r="B204" t="s">
        <v>332</v>
      </c>
      <c r="C204" s="51">
        <v>45168</v>
      </c>
      <c r="D204" s="58">
        <v>1.4973283552526762</v>
      </c>
      <c r="E204" s="60">
        <v>2292.0055039912031</v>
      </c>
      <c r="F204" s="61">
        <v>7.5262325372621488</v>
      </c>
      <c r="G204" s="59">
        <v>1.4394972402242425</v>
      </c>
      <c r="H204" s="25">
        <v>329.59245478464231</v>
      </c>
    </row>
    <row r="205" spans="1:8" ht="14" x14ac:dyDescent="0.15">
      <c r="A205" s="43" t="s">
        <v>114</v>
      </c>
      <c r="B205" s="52" t="s">
        <v>329</v>
      </c>
      <c r="C205" s="53">
        <v>45183</v>
      </c>
      <c r="D205" s="58">
        <v>4.8153911901744548</v>
      </c>
      <c r="E205" s="60">
        <v>6786.0552244611445</v>
      </c>
      <c r="F205" s="61">
        <v>118.59646426322381</v>
      </c>
      <c r="G205" s="59">
        <v>4.7898854000731061</v>
      </c>
      <c r="H205" s="55">
        <v>4763.8091351796093</v>
      </c>
    </row>
    <row r="206" spans="1:8" ht="15" hidden="1" x14ac:dyDescent="0.2">
      <c r="A206" s="29" t="s">
        <v>180</v>
      </c>
      <c r="B206" t="s">
        <v>330</v>
      </c>
      <c r="C206" s="51">
        <v>45183</v>
      </c>
      <c r="D206" s="58">
        <v>1.8984359511198023</v>
      </c>
      <c r="E206" s="60">
        <v>2259.411642537852</v>
      </c>
      <c r="F206" s="61">
        <v>6.2753938902242146</v>
      </c>
      <c r="G206" s="59">
        <v>1.5947885010332516</v>
      </c>
      <c r="H206" s="25">
        <v>252.07141652005089</v>
      </c>
    </row>
    <row r="207" spans="1:8" hidden="1" x14ac:dyDescent="0.15">
      <c r="A207" t="s">
        <v>227</v>
      </c>
      <c r="B207" s="52" t="s">
        <v>331</v>
      </c>
      <c r="C207" s="53">
        <v>45183</v>
      </c>
      <c r="D207" s="58">
        <v>3.0198571877326059</v>
      </c>
      <c r="E207" s="60">
        <v>4184.4607421715655</v>
      </c>
      <c r="F207" s="61"/>
      <c r="G207" s="59">
        <v>2.9535697475403619</v>
      </c>
      <c r="H207" s="55"/>
    </row>
    <row r="208" spans="1:8" hidden="1" x14ac:dyDescent="0.15">
      <c r="A208" t="s">
        <v>269</v>
      </c>
      <c r="B208" t="s">
        <v>332</v>
      </c>
      <c r="C208" s="51">
        <v>45183</v>
      </c>
      <c r="D208" s="58">
        <v>1.749333127525216</v>
      </c>
      <c r="E208" s="60">
        <v>2206.9883576287802</v>
      </c>
      <c r="F208" s="61">
        <v>13.03840284624288</v>
      </c>
      <c r="G208" s="59">
        <v>1.5577859246167334</v>
      </c>
      <c r="H208" s="25">
        <v>523.72946337780854</v>
      </c>
    </row>
    <row r="209" spans="1:8" hidden="1" x14ac:dyDescent="0.15">
      <c r="A209" t="s">
        <v>259</v>
      </c>
      <c r="B209" t="s">
        <v>332</v>
      </c>
      <c r="C209" s="51">
        <v>45300</v>
      </c>
      <c r="D209" s="58">
        <v>2.1987416380779128</v>
      </c>
      <c r="E209" s="60">
        <v>2103.4966647656856</v>
      </c>
      <c r="F209" s="61">
        <v>1.9292596081432554</v>
      </c>
      <c r="G209" s="59">
        <v>1.8124625630032898</v>
      </c>
      <c r="H209" s="25">
        <v>66.613633926382676</v>
      </c>
    </row>
    <row r="210" spans="1:8" ht="15" hidden="1" x14ac:dyDescent="0.2">
      <c r="A210" s="29" t="s">
        <v>146</v>
      </c>
      <c r="B210" t="s">
        <v>330</v>
      </c>
      <c r="C210" s="51">
        <v>45364</v>
      </c>
      <c r="D210" s="58">
        <v>3.8871736123039318</v>
      </c>
      <c r="E210" s="60"/>
      <c r="F210" s="61"/>
      <c r="G210" s="59"/>
    </row>
    <row r="211" spans="1:8" hidden="1" x14ac:dyDescent="0.15">
      <c r="A211" t="s">
        <v>279</v>
      </c>
      <c r="B211" t="s">
        <v>332</v>
      </c>
      <c r="C211" s="51">
        <v>45364</v>
      </c>
      <c r="D211" s="58">
        <v>4.7187893608033136</v>
      </c>
      <c r="E211" s="60">
        <v>4619.0529097207291</v>
      </c>
      <c r="F211" s="61">
        <v>1.8020556779360075</v>
      </c>
      <c r="G211" s="59">
        <v>3.9799732586373273</v>
      </c>
      <c r="H211" s="25">
        <v>62.221526194972817</v>
      </c>
    </row>
    <row r="212" spans="1:8" ht="15" hidden="1" x14ac:dyDescent="0.2">
      <c r="A212" s="29" t="s">
        <v>173</v>
      </c>
      <c r="B212" t="s">
        <v>330</v>
      </c>
      <c r="C212" s="51">
        <v>45398</v>
      </c>
      <c r="D212" s="58">
        <v>2.1567408426991563</v>
      </c>
      <c r="E212" s="60">
        <v>2426.3979854886129</v>
      </c>
      <c r="F212" s="61"/>
      <c r="G212" s="59">
        <v>2.0906881314853849</v>
      </c>
    </row>
    <row r="213" spans="1:8" hidden="1" x14ac:dyDescent="0.15">
      <c r="A213" t="s">
        <v>210</v>
      </c>
      <c r="B213" s="52" t="s">
        <v>331</v>
      </c>
      <c r="C213" s="53">
        <v>45398</v>
      </c>
      <c r="D213" s="58">
        <v>2.9085550799789019</v>
      </c>
      <c r="E213" s="60">
        <v>3337.1357805879088</v>
      </c>
      <c r="F213" s="61"/>
      <c r="G213" s="59">
        <v>2.8754187117516055</v>
      </c>
      <c r="H213" s="55"/>
    </row>
    <row r="214" spans="1:8" hidden="1" x14ac:dyDescent="0.15">
      <c r="A214" t="s">
        <v>290</v>
      </c>
      <c r="B214" t="s">
        <v>332</v>
      </c>
      <c r="C214" s="51">
        <v>45398</v>
      </c>
      <c r="D214" s="58">
        <v>2.6229496714033558</v>
      </c>
      <c r="E214" s="60">
        <v>2995.4691279436734</v>
      </c>
      <c r="F214" s="61">
        <v>1.3144406121415584</v>
      </c>
      <c r="G214" s="59">
        <v>2.5810241318518043</v>
      </c>
      <c r="H214" s="25">
        <v>45.385113224568407</v>
      </c>
    </row>
    <row r="215" spans="1:8" ht="15" hidden="1" x14ac:dyDescent="0.2">
      <c r="A215" s="29" t="s">
        <v>166</v>
      </c>
      <c r="B215" t="s">
        <v>330</v>
      </c>
      <c r="C215" s="51">
        <v>45427</v>
      </c>
      <c r="D215" s="58">
        <v>1.2495236625180115</v>
      </c>
      <c r="E215" s="60">
        <v>1599.0273700579971</v>
      </c>
      <c r="F215" s="61"/>
      <c r="G215" s="59">
        <v>1.1364512258812605</v>
      </c>
    </row>
    <row r="216" spans="1:8" hidden="1" x14ac:dyDescent="0.15">
      <c r="A216" t="s">
        <v>247</v>
      </c>
      <c r="B216" s="52" t="s">
        <v>331</v>
      </c>
      <c r="C216" s="53">
        <v>45427</v>
      </c>
      <c r="D216" s="58">
        <v>1.9110361897334296</v>
      </c>
      <c r="E216" s="60">
        <v>2643.0156457470084</v>
      </c>
      <c r="F216" s="61"/>
      <c r="G216" s="59">
        <v>1.8784283664410293</v>
      </c>
      <c r="H216" s="55"/>
    </row>
    <row r="217" spans="1:8" hidden="1" x14ac:dyDescent="0.15">
      <c r="A217" t="s">
        <v>289</v>
      </c>
      <c r="B217" t="s">
        <v>332</v>
      </c>
      <c r="C217" s="51">
        <v>45427</v>
      </c>
      <c r="D217" s="58">
        <v>1.0122191686280362</v>
      </c>
      <c r="E217" s="60">
        <v>1348.7178150270574</v>
      </c>
      <c r="F217" s="61">
        <v>1.8444569880050901</v>
      </c>
      <c r="G217" s="59">
        <v>0.95855270707455198</v>
      </c>
      <c r="H217" s="25">
        <v>73.708580635127674</v>
      </c>
    </row>
    <row r="218" spans="1:8" ht="14" x14ac:dyDescent="0.15">
      <c r="A218" s="43" t="s">
        <v>119</v>
      </c>
      <c r="B218" s="52" t="s">
        <v>329</v>
      </c>
      <c r="C218" s="53">
        <v>45489</v>
      </c>
      <c r="D218" s="58">
        <v>9.114172597190203</v>
      </c>
      <c r="E218" s="60">
        <v>16525.079744597035</v>
      </c>
      <c r="F218" s="61">
        <v>88.957948524935148</v>
      </c>
      <c r="G218" s="59">
        <v>9.0680160532214327</v>
      </c>
      <c r="H218" s="55">
        <v>4294.8862240742274</v>
      </c>
    </row>
    <row r="219" spans="1:8" hidden="1" x14ac:dyDescent="0.15">
      <c r="A219" t="s">
        <v>198</v>
      </c>
      <c r="B219" t="s">
        <v>330</v>
      </c>
      <c r="C219" s="51">
        <v>45489</v>
      </c>
      <c r="D219" s="58">
        <v>3.5196666527398111</v>
      </c>
      <c r="E219" s="60">
        <v>5427.034777281714</v>
      </c>
      <c r="F219" s="61"/>
      <c r="G219" s="59">
        <v>2.9780454462177013</v>
      </c>
    </row>
    <row r="220" spans="1:8" hidden="1" x14ac:dyDescent="0.15">
      <c r="A220" t="s">
        <v>213</v>
      </c>
      <c r="B220" s="52" t="s">
        <v>331</v>
      </c>
      <c r="C220" s="53">
        <v>45489</v>
      </c>
      <c r="D220" s="58">
        <v>5.0463955647576171</v>
      </c>
      <c r="E220" s="60">
        <v>8980.335967820376</v>
      </c>
      <c r="F220" s="61"/>
      <c r="G220" s="59">
        <v>4.9278933583447442</v>
      </c>
      <c r="H220" s="55"/>
    </row>
    <row r="221" spans="1:8" hidden="1" x14ac:dyDescent="0.15">
      <c r="A221" t="s">
        <v>303</v>
      </c>
      <c r="B221" t="s">
        <v>332</v>
      </c>
      <c r="C221" s="51">
        <v>45489</v>
      </c>
      <c r="D221" s="58">
        <v>2.4570465296572666</v>
      </c>
      <c r="E221" s="60">
        <v>3775.0370785766695</v>
      </c>
      <c r="F221" s="61">
        <v>37.14354762051628</v>
      </c>
      <c r="G221" s="59">
        <v>2.0715238509654843</v>
      </c>
      <c r="H221" s="25">
        <v>1793.2890049042046</v>
      </c>
    </row>
    <row r="222" spans="1:8" ht="15" hidden="1" x14ac:dyDescent="0.2">
      <c r="A222" s="29" t="s">
        <v>183</v>
      </c>
      <c r="B222" t="s">
        <v>330</v>
      </c>
      <c r="C222" s="51">
        <v>45517</v>
      </c>
      <c r="D222" s="58">
        <v>2.1483406836234047</v>
      </c>
      <c r="E222" s="60">
        <v>3560.6874056282718</v>
      </c>
      <c r="F222" s="61">
        <v>6.0845879949133428</v>
      </c>
      <c r="G222" s="59">
        <v>2.0340597543345234</v>
      </c>
      <c r="H222" s="25">
        <v>285.43018735895197</v>
      </c>
    </row>
    <row r="223" spans="1:8" hidden="1" x14ac:dyDescent="0.15">
      <c r="A223" t="s">
        <v>235</v>
      </c>
      <c r="B223" s="52" t="s">
        <v>331</v>
      </c>
      <c r="C223" s="53">
        <v>45517</v>
      </c>
      <c r="D223" s="58">
        <v>3.347463391686909</v>
      </c>
      <c r="E223" s="60">
        <v>5789.9166036649112</v>
      </c>
      <c r="F223" s="61"/>
      <c r="G223" s="59">
        <v>3.3075176231006456</v>
      </c>
      <c r="H223" s="55"/>
    </row>
    <row r="224" spans="1:8" hidden="1" x14ac:dyDescent="0.15">
      <c r="A224" t="s">
        <v>311</v>
      </c>
      <c r="B224" t="s">
        <v>332</v>
      </c>
      <c r="C224" s="51">
        <v>45517</v>
      </c>
      <c r="D224" s="58">
        <v>1.640131059540449</v>
      </c>
      <c r="E224" s="60">
        <v>2772.7257492249805</v>
      </c>
      <c r="F224" s="61">
        <v>15.328073589973334</v>
      </c>
      <c r="G224" s="59">
        <v>1.5839328797553995</v>
      </c>
      <c r="H224" s="25">
        <v>719.04538487986849</v>
      </c>
    </row>
    <row r="225" spans="1:8" ht="14" x14ac:dyDescent="0.15">
      <c r="A225" s="43" t="s">
        <v>118</v>
      </c>
      <c r="B225" s="52" t="s">
        <v>329</v>
      </c>
      <c r="C225" s="53">
        <v>45545</v>
      </c>
      <c r="D225" s="58">
        <v>4.4226837533830787</v>
      </c>
      <c r="E225" s="60">
        <v>6416.580814799715</v>
      </c>
      <c r="F225" s="61">
        <v>47.38346400219973</v>
      </c>
      <c r="G225" s="59">
        <v>4.3959383545245592</v>
      </c>
      <c r="H225" s="55">
        <v>1946.1152972552688</v>
      </c>
    </row>
    <row r="226" spans="1:8" hidden="1" x14ac:dyDescent="0.15">
      <c r="A226" t="s">
        <v>301</v>
      </c>
      <c r="B226" t="s">
        <v>332</v>
      </c>
      <c r="C226" s="51">
        <v>45545</v>
      </c>
      <c r="D226" s="58">
        <v>1.7010322128396465</v>
      </c>
      <c r="E226" s="60">
        <v>2280.3385367216165</v>
      </c>
      <c r="F226" s="61">
        <v>14.013632977831778</v>
      </c>
      <c r="G226" s="59">
        <v>1.5622381957310165</v>
      </c>
      <c r="H226" s="25">
        <v>575.56251073187138</v>
      </c>
    </row>
    <row r="227" spans="1:8" ht="15" hidden="1" x14ac:dyDescent="0.2">
      <c r="A227" s="29" t="s">
        <v>175</v>
      </c>
      <c r="B227" t="s">
        <v>330</v>
      </c>
      <c r="C227" s="51">
        <v>45602</v>
      </c>
      <c r="D227" s="58">
        <v>1.3482255316580896</v>
      </c>
      <c r="E227" s="60">
        <v>1390.203237587285</v>
      </c>
      <c r="F227" s="61">
        <v>1.7808550229014664</v>
      </c>
      <c r="G227" s="59">
        <v>1.197858482639238</v>
      </c>
      <c r="H227" s="25">
        <v>61.489508239737845</v>
      </c>
    </row>
    <row r="228" spans="1:8" hidden="1" x14ac:dyDescent="0.15">
      <c r="A228" t="s">
        <v>230</v>
      </c>
      <c r="B228" s="52" t="s">
        <v>331</v>
      </c>
      <c r="C228" s="53">
        <v>45602</v>
      </c>
      <c r="D228" s="58">
        <v>2.045438734945451</v>
      </c>
      <c r="E228" s="60">
        <v>2326.359538594465</v>
      </c>
      <c r="F228" s="61"/>
      <c r="G228" s="59">
        <v>2.0044907331753512</v>
      </c>
      <c r="H228" s="55"/>
    </row>
    <row r="229" spans="1:8" hidden="1" x14ac:dyDescent="0.15">
      <c r="A229" t="s">
        <v>262</v>
      </c>
      <c r="B229" t="s">
        <v>332</v>
      </c>
      <c r="C229" s="51">
        <v>45678</v>
      </c>
      <c r="D229" s="58">
        <v>2.1966415983089753</v>
      </c>
      <c r="E229" s="60">
        <v>2221.7258042454105</v>
      </c>
      <c r="F229" s="61">
        <v>6.0633873398788021</v>
      </c>
      <c r="G229" s="59">
        <v>1.9143338389375286</v>
      </c>
      <c r="H229" s="25">
        <v>209.35713519720267</v>
      </c>
    </row>
    <row r="230" spans="1:8" hidden="1" x14ac:dyDescent="0.15">
      <c r="A230" t="s">
        <v>272</v>
      </c>
      <c r="B230" t="s">
        <v>332</v>
      </c>
      <c r="C230" s="51">
        <v>45708</v>
      </c>
      <c r="D230" s="58">
        <v>2.1714411210817208</v>
      </c>
      <c r="E230" s="60"/>
      <c r="F230" s="61">
        <v>4.2613316619427941</v>
      </c>
      <c r="G230" s="59"/>
      <c r="H230" s="25">
        <v>147.13560900222984</v>
      </c>
    </row>
  </sheetData>
  <autoFilter ref="A1:F230" xr:uid="{6C86D36A-300D-ED4D-8D79-3B3EE2EA84F2}">
    <filterColumn colId="1">
      <filters>
        <filter val="DC4"/>
      </filters>
    </filterColumn>
  </autoFilter>
  <sortState xmlns:xlrd2="http://schemas.microsoft.com/office/spreadsheetml/2017/richdata2" ref="A2:F230">
    <sortCondition ref="C1:C2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</vt:lpstr>
      <vt:lpstr>Volumes</vt:lpstr>
      <vt:lpstr>DIC</vt:lpstr>
      <vt:lpstr>C-speciation</vt:lpstr>
      <vt:lpstr>CH4</vt:lpstr>
      <vt:lpstr>Data 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Phantom</dc:creator>
  <cp:lastModifiedBy>Audrey Campeau</cp:lastModifiedBy>
  <dcterms:created xsi:type="dcterms:W3CDTF">2004-06-24T13:43:12Z</dcterms:created>
  <dcterms:modified xsi:type="dcterms:W3CDTF">2025-09-11T20:37:52Z</dcterms:modified>
</cp:coreProperties>
</file>